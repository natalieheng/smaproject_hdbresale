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talieheng/Downloads/"/>
    </mc:Choice>
  </mc:AlternateContent>
  <xr:revisionPtr revIDLastSave="0" documentId="13_ncr:1_{77B2DB01-CB47-AE4D-AC37-FAF6741E9225}" xr6:coauthVersionLast="47" xr6:coauthVersionMax="47" xr10:uidLastSave="{00000000-0000-0000-0000-000000000000}"/>
  <bookViews>
    <workbookView xWindow="0" yWindow="500" windowWidth="38400" windowHeight="19840" activeTab="2" xr2:uid="{B2B947CB-92AA-CE4B-A2A7-BCEFC191DF2F}"/>
  </bookViews>
  <sheets>
    <sheet name="Cover Page" sheetId="3" r:id="rId1"/>
    <sheet name="Filter" sheetId="4" r:id="rId2"/>
    <sheet name="Repayment of Loans" sheetId="5" r:id="rId3"/>
    <sheet name=" BTO Market" sheetId="6" r:id="rId4"/>
    <sheet name="Resale Market Consolidated" sheetId="10" r:id="rId5"/>
    <sheet name="Resale Market" sheetId="8" r:id="rId6"/>
  </sheets>
  <externalReferences>
    <externalReference r:id="rId7"/>
  </externalReferences>
  <definedNames>
    <definedName name="_xlnm._FilterDatabase" localSheetId="3" hidden="1">' BTO Market'!$B$10:$N$31</definedName>
    <definedName name="_xlnm._FilterDatabase" localSheetId="1" hidden="1">Filter!$A$10:$M$31</definedName>
    <definedName name="_xlnm._FilterDatabase" localSheetId="5" hidden="1">'Resale Market'!$B$10:$L$421</definedName>
    <definedName name="_xlnm.Criteria" localSheetId="3">' BTO Market'!$G$5:$I$6</definedName>
    <definedName name="_xlnm.Criteria" localSheetId="1">Filter!$B$5:$D$6</definedName>
    <definedName name="_xlnm.Criteria" localSheetId="5">'Resale Market'!$D$13:$F$14</definedName>
    <definedName name="_xlnm.Extract" localSheetId="3">' BTO Market'!$B$37:$N$37</definedName>
    <definedName name="_xlnm.Extract" localSheetId="1">Filter!$B$14:$N$14</definedName>
    <definedName name="_xlnm.Extract" localSheetId="5">'Resale Market'!$N$10:$X$10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5" l="1"/>
  <c r="C6" i="5" l="1"/>
  <c r="D3" i="10"/>
  <c r="C19" i="5"/>
  <c r="D127" i="10"/>
  <c r="D126" i="10"/>
  <c r="D125" i="10"/>
  <c r="D124" i="10"/>
  <c r="D123" i="10"/>
  <c r="D122" i="10"/>
  <c r="D121" i="10"/>
  <c r="D120" i="10"/>
  <c r="D119" i="10"/>
  <c r="D118" i="10"/>
  <c r="D117" i="10"/>
  <c r="D116" i="10"/>
  <c r="D115" i="10"/>
  <c r="D114" i="10"/>
  <c r="D113" i="10"/>
  <c r="D112" i="10"/>
  <c r="D111" i="10"/>
  <c r="D110" i="10"/>
  <c r="D109" i="10"/>
  <c r="D108" i="10"/>
  <c r="D107" i="10"/>
  <c r="D106" i="10"/>
  <c r="D105" i="10"/>
  <c r="D104" i="10"/>
  <c r="D103" i="10"/>
  <c r="D102" i="10"/>
  <c r="D101" i="10"/>
  <c r="D100" i="10"/>
  <c r="D99" i="10"/>
  <c r="D98" i="10"/>
  <c r="D97" i="10"/>
  <c r="D96" i="10"/>
  <c r="D95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J5" i="10" a="1"/>
  <c r="K29" i="10" s="1"/>
  <c r="L29" i="10" s="1" a="1"/>
  <c r="L29" i="10" s="1"/>
  <c r="AH5" i="10" a="1"/>
  <c r="AH5" i="10" s="1"/>
  <c r="AJ10" i="10" a="1"/>
  <c r="AJ10" i="10" s="1"/>
  <c r="AJ11" i="10" a="1"/>
  <c r="AJ11" i="10" s="1"/>
  <c r="AJ12" i="10" a="1"/>
  <c r="AJ12" i="10" s="1"/>
  <c r="C8" i="5"/>
  <c r="C10" i="5" s="1"/>
  <c r="C9" i="5" s="1"/>
  <c r="C21" i="5" l="1"/>
  <c r="C22" i="5"/>
  <c r="K13" i="10"/>
  <c r="L13" i="10" s="1" a="1"/>
  <c r="L13" i="10" s="1"/>
  <c r="K28" i="10"/>
  <c r="L28" i="10" s="1" a="1"/>
  <c r="L28" i="10" s="1"/>
  <c r="K15" i="10"/>
  <c r="L15" i="10" s="1" a="1"/>
  <c r="L15" i="10" s="1"/>
  <c r="K24" i="10"/>
  <c r="L24" i="10" s="1" a="1"/>
  <c r="L24" i="10" s="1"/>
  <c r="K20" i="10"/>
  <c r="L20" i="10" s="1" a="1"/>
  <c r="L20" i="10" s="1"/>
  <c r="K16" i="10"/>
  <c r="L16" i="10" s="1" a="1"/>
  <c r="L16" i="10" s="1"/>
  <c r="K27" i="10"/>
  <c r="L27" i="10" s="1" a="1"/>
  <c r="L27" i="10" s="1"/>
  <c r="K23" i="10"/>
  <c r="L23" i="10" s="1" a="1"/>
  <c r="L23" i="10" s="1"/>
  <c r="K19" i="10"/>
  <c r="L19" i="10" s="1" a="1"/>
  <c r="L19" i="10" s="1"/>
  <c r="K14" i="10"/>
  <c r="L14" i="10" s="1" a="1"/>
  <c r="L14" i="10" s="1"/>
  <c r="K17" i="10"/>
  <c r="L17" i="10" s="1" a="1"/>
  <c r="L17" i="10" s="1"/>
  <c r="K26" i="10"/>
  <c r="L26" i="10" s="1" a="1"/>
  <c r="L26" i="10" s="1"/>
  <c r="K22" i="10"/>
  <c r="L22" i="10" s="1" a="1"/>
  <c r="L22" i="10" s="1"/>
  <c r="K18" i="10"/>
  <c r="L18" i="10" s="1" a="1"/>
  <c r="L18" i="10" s="1"/>
  <c r="K25" i="10"/>
  <c r="L25" i="10" s="1" a="1"/>
  <c r="L25" i="10" s="1"/>
  <c r="K21" i="10"/>
  <c r="L21" i="10" s="1" a="1"/>
  <c r="L21" i="10" s="1"/>
  <c r="AI7" i="10"/>
  <c r="AJ7" i="10" s="1" a="1"/>
  <c r="AJ7" i="10" s="1"/>
  <c r="AI6" i="10"/>
  <c r="AJ6" i="10" s="1" a="1"/>
  <c r="AJ6" i="10" s="1"/>
  <c r="AI8" i="10"/>
  <c r="AJ8" i="10" s="1" a="1"/>
  <c r="AJ8" i="10" s="1"/>
  <c r="K11" i="10"/>
  <c r="L11" i="10" s="1" a="1"/>
  <c r="L11" i="10" s="1"/>
  <c r="K7" i="10"/>
  <c r="L7" i="10" s="1" a="1"/>
  <c r="L7" i="10" s="1"/>
  <c r="K9" i="10"/>
  <c r="L9" i="10" s="1" a="1"/>
  <c r="L9" i="10" s="1"/>
  <c r="K8" i="10"/>
  <c r="L8" i="10" s="1" a="1"/>
  <c r="L8" i="10" s="1"/>
  <c r="AI5" i="10"/>
  <c r="AJ5" i="10" s="1" a="1"/>
  <c r="AJ5" i="10" s="1"/>
  <c r="K12" i="10"/>
  <c r="L12" i="10" s="1" a="1"/>
  <c r="L12" i="10" s="1"/>
  <c r="AI9" i="10"/>
  <c r="AJ9" i="10" s="1" a="1"/>
  <c r="AJ9" i="10" s="1"/>
  <c r="K6" i="10"/>
  <c r="L6" i="10" s="1" a="1"/>
  <c r="L6" i="10" s="1"/>
  <c r="J5" i="10"/>
  <c r="K10" i="10"/>
  <c r="L10" i="10" s="1" a="1"/>
  <c r="L10" i="10" s="1"/>
  <c r="K5" i="10" l="1"/>
  <c r="L5" i="10" s="1" a="1"/>
  <c r="L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<sst xmlns="http://schemas.openxmlformats.org/spreadsheetml/2006/main" count="4418" uniqueCount="802">
  <si>
    <t>👋🏼 Hi there!</t>
  </si>
  <si>
    <t>Need some help deciding what's a suitable flat for you? 🤔</t>
  </si>
  <si>
    <t>Here's what this spreadsheet is for, and how you can use it!</t>
  </si>
  <si>
    <t>1. Filter Tab</t>
  </si>
  <si>
    <t>Input the neighbourhood and flat type you are interested in finding out more about along with your desired price range.</t>
  </si>
  <si>
    <t>Click the 'Search' Button and it will show you your possible BTO and Resale flat choices!</t>
  </si>
  <si>
    <t>2. Repayment of Loans</t>
  </si>
  <si>
    <t>3. BTO Market Flats</t>
  </si>
  <si>
    <t>🏡 Finding YOUR Ideal Home</t>
  </si>
  <si>
    <t>Please key in what you are looking for in your dream home.</t>
  </si>
  <si>
    <t>Town</t>
  </si>
  <si>
    <t>Flat Type</t>
  </si>
  <si>
    <t>Price</t>
  </si>
  <si>
    <t>CHOA CHU KANG</t>
  </si>
  <si>
    <t>5 ROOM</t>
  </si>
  <si>
    <t>↑ select here</t>
  </si>
  <si>
    <t>↑ input here</t>
  </si>
  <si>
    <r>
      <t xml:space="preserve">Results for </t>
    </r>
    <r>
      <rPr>
        <b/>
        <u/>
        <sz val="18"/>
        <color theme="1"/>
        <rFont val="Calibri (Body)"/>
      </rPr>
      <t>BTO</t>
    </r>
    <r>
      <rPr>
        <b/>
        <sz val="18"/>
        <color theme="1"/>
        <rFont val="Calibri"/>
        <family val="2"/>
        <scheme val="minor"/>
      </rPr>
      <t xml:space="preserve"> Flats</t>
    </r>
  </si>
  <si>
    <t>Amenities</t>
  </si>
  <si>
    <t>Project</t>
  </si>
  <si>
    <r>
      <rPr>
        <b/>
        <sz val="12"/>
        <color rgb="FF000000"/>
        <rFont val="Calibri (Body)"/>
      </rPr>
      <t>Price Range</t>
    </r>
    <r>
      <rPr>
        <b/>
        <sz val="11"/>
        <color rgb="FF000000"/>
        <rFont val="Calibri"/>
        <family val="2"/>
        <scheme val="minor"/>
      </rPr>
      <t xml:space="preserve">
</t>
    </r>
    <r>
      <rPr>
        <b/>
        <i/>
        <sz val="9"/>
        <color rgb="FF000000"/>
        <rFont val="Calibri"/>
        <family val="2"/>
        <scheme val="minor"/>
      </rPr>
      <t>(rounded to the nearest thousand)</t>
    </r>
  </si>
  <si>
    <t>Price of Resale 
Flats nearby</t>
  </si>
  <si>
    <t>Minimum Selling Price</t>
  </si>
  <si>
    <t>Maximum Selling Price</t>
  </si>
  <si>
    <t>Pri/Sec Schools
(1km)</t>
  </si>
  <si>
    <t>Malls
(1km)</t>
  </si>
  <si>
    <t>Community Centres (1km)</t>
  </si>
  <si>
    <t>Medical
(1km)</t>
  </si>
  <si>
    <t>MRT
(500m)</t>
  </si>
  <si>
    <t>Tanjong Tree Residences</t>
  </si>
  <si>
    <t>HOUGANG</t>
  </si>
  <si>
    <t>2 ROOM</t>
  </si>
  <si>
    <t>$136,000 to $177,000</t>
  </si>
  <si>
    <t>-</t>
  </si>
  <si>
    <t>Yes</t>
  </si>
  <si>
    <t>No</t>
  </si>
  <si>
    <r>
      <t xml:space="preserve">Results for </t>
    </r>
    <r>
      <rPr>
        <b/>
        <u/>
        <sz val="18"/>
        <color theme="1"/>
        <rFont val="Calibri (Body)"/>
      </rPr>
      <t>Resale</t>
    </r>
    <r>
      <rPr>
        <b/>
        <sz val="18"/>
        <color theme="1"/>
        <rFont val="Calibri"/>
        <family val="2"/>
        <scheme val="minor"/>
      </rPr>
      <t xml:space="preserve"> Flats</t>
    </r>
  </si>
  <si>
    <t>Address</t>
  </si>
  <si>
    <t>Lease Commencement</t>
  </si>
  <si>
    <t>Remaining Lease</t>
  </si>
  <si>
    <t>998B BUANGKOK CRES</t>
  </si>
  <si>
    <t>95 years 01 month</t>
  </si>
  <si>
    <t>995B BUANGKOK CRES</t>
  </si>
  <si>
    <t>94 years 09 months</t>
  </si>
  <si>
    <t>Data</t>
  </si>
  <si>
    <t>Interest rate (Per Annum)</t>
  </si>
  <si>
    <t>Interest Rate (Per Month) (&lt;60 Months)</t>
  </si>
  <si>
    <t>Average 3M SORA Rate</t>
  </si>
  <si>
    <t>as of feb 2024</t>
  </si>
  <si>
    <t>Interest Rate (Per Annum) (&gt;60 months)</t>
  </si>
  <si>
    <t>Interest Rate (Per Month) (&gt;60 Months)</t>
  </si>
  <si>
    <t>User Input Diagram</t>
  </si>
  <si>
    <t>Cost of HDB</t>
  </si>
  <si>
    <t>% of House Price Loaned</t>
  </si>
  <si>
    <t>Repayment Duration</t>
  </si>
  <si>
    <t>months</t>
  </si>
  <si>
    <t>Output</t>
  </si>
  <si>
    <t>Loan Amount from Bank</t>
  </si>
  <si>
    <t>Total loan + interest</t>
  </si>
  <si>
    <t xml:space="preserve">February 2024 BTO Sales Launch Prices </t>
  </si>
  <si>
    <t>Legend</t>
  </si>
  <si>
    <t>Non-mature estate</t>
  </si>
  <si>
    <t>Mature estate</t>
  </si>
  <si>
    <r>
      <rPr>
        <sz val="12"/>
        <color rgb="FF000000"/>
        <rFont val="Calibri (Body)"/>
      </rPr>
      <t>Price Range</t>
    </r>
    <r>
      <rPr>
        <sz val="11"/>
        <color rgb="FF000000"/>
        <rFont val="Calibri"/>
        <family val="2"/>
        <scheme val="minor"/>
      </rPr>
      <t xml:space="preserve">
</t>
    </r>
    <r>
      <rPr>
        <i/>
        <sz val="9"/>
        <color rgb="FF000000"/>
        <rFont val="Calibri"/>
        <family val="2"/>
        <scheme val="minor"/>
      </rPr>
      <t>(rounded to the nearest thousand)</t>
    </r>
  </si>
  <si>
    <t>Primary / Secondary Schools (1km)</t>
  </si>
  <si>
    <t>Malls (1km)</t>
  </si>
  <si>
    <t>Hospitals/Clinic (1km)</t>
  </si>
  <si>
    <t>MRT (500m)</t>
  </si>
  <si>
    <t>North Springs</t>
  </si>
  <si>
    <t>BEDOK</t>
  </si>
  <si>
    <t>$155,000 to $256,000</t>
  </si>
  <si>
    <t>4 ROOM</t>
  </si>
  <si>
    <t>$451,000 to $568,000</t>
  </si>
  <si>
    <t>$690,000 to $858,888</t>
  </si>
  <si>
    <t>$605,000 to $730,000</t>
  </si>
  <si>
    <t>$870,000 to $970,000</t>
  </si>
  <si>
    <t>South Bloom</t>
  </si>
  <si>
    <t>$178,000 to $284,000</t>
  </si>
  <si>
    <t>$491,000 to $638,000</t>
  </si>
  <si>
    <t>Rail Garden</t>
  </si>
  <si>
    <t>$102,000 to $155,000</t>
  </si>
  <si>
    <t>$283,000 to $325,000</t>
  </si>
  <si>
    <t>3 ROOM</t>
  </si>
  <si>
    <t>$202,000 to $253,000</t>
  </si>
  <si>
    <t>$402,500 to $417,000</t>
  </si>
  <si>
    <t>$300,000 to $376,000</t>
  </si>
  <si>
    <t>$515,000 to $615,000</t>
  </si>
  <si>
    <t>$247,000 to $294,000</t>
  </si>
  <si>
    <t>$408,000 to $438,000</t>
  </si>
  <si>
    <t>$371,000 to $432,000</t>
  </si>
  <si>
    <t>$530,000 to $654,888</t>
  </si>
  <si>
    <t>Matilda Riverside</t>
  </si>
  <si>
    <t>PUNGGOL</t>
  </si>
  <si>
    <t>$131,000 to $221,000</t>
  </si>
  <si>
    <t>$325,000 to $360,000</t>
  </si>
  <si>
    <t>$242,000 to $296,000</t>
  </si>
  <si>
    <t>$425,000 to $455,000</t>
  </si>
  <si>
    <t>$318,000 to $429,000</t>
  </si>
  <si>
    <t>$530,000 to $605,000</t>
  </si>
  <si>
    <t>$464,000 to $582,000</t>
  </si>
  <si>
    <t>$650,000 to $745,000</t>
  </si>
  <si>
    <t xml:space="preserve"> Tanglin Halt Courtyard</t>
  </si>
  <si>
    <t>QUEENSTOWN</t>
  </si>
  <si>
    <t>$235,000 to $353,000</t>
  </si>
  <si>
    <t>$565,000 to $720,000</t>
  </si>
  <si>
    <t>$848,888 to $1,000,000</t>
  </si>
  <si>
    <t>Woodgrove Edge</t>
  </si>
  <si>
    <t>WOODLANDS</t>
  </si>
  <si>
    <t>$119,000 to $184,000</t>
  </si>
  <si>
    <t>$320,000 to $348,000</t>
  </si>
  <si>
    <t>Proposed</t>
  </si>
  <si>
    <t>$223,000 to $278,000</t>
  </si>
  <si>
    <t>$415,000 to $470,000</t>
  </si>
  <si>
    <t>$303,000 to $385,000</t>
  </si>
  <si>
    <t>$520,000 to $615,888</t>
  </si>
  <si>
    <t>$412,000 to $515,000</t>
  </si>
  <si>
    <t>$620,000 to $718,000</t>
  </si>
  <si>
    <t>Notes:</t>
  </si>
  <si>
    <t>1. Price table refers to the average price derived from the minimum and maximum selling price</t>
  </si>
  <si>
    <t>January 2024 Resale Flat Prices</t>
  </si>
  <si>
    <t>Lease commencement Date</t>
  </si>
  <si>
    <t>308B ANG MO KIO AVE 1</t>
  </si>
  <si>
    <t>ANG MO KIO</t>
  </si>
  <si>
    <t>87 years 09 months</t>
  </si>
  <si>
    <t>462 ANG MO KIO AVE 10</t>
  </si>
  <si>
    <t>55 years 02 months</t>
  </si>
  <si>
    <t>559 ANG MO KIO AVE 10</t>
  </si>
  <si>
    <t>55 years 01 month</t>
  </si>
  <si>
    <t>202 ANG MO KIO AVE 3</t>
  </si>
  <si>
    <t>52 years 05 months</t>
  </si>
  <si>
    <t>107 ANG MO KIO AVE 4</t>
  </si>
  <si>
    <t>53 years 05 months</t>
  </si>
  <si>
    <t>633 ANG MO KIO AVE 6</t>
  </si>
  <si>
    <t>60 years 01 month</t>
  </si>
  <si>
    <t>345 ANG MO KIO AVE 3</t>
  </si>
  <si>
    <t>573 ANG MO KIO AVE 3</t>
  </si>
  <si>
    <t>54 years 05 months</t>
  </si>
  <si>
    <t>118 ANG MO KIO AVE 4</t>
  </si>
  <si>
    <t>53 years 06 months</t>
  </si>
  <si>
    <t>455A ANG MO KIO ST 44</t>
  </si>
  <si>
    <t>93 years 03 months</t>
  </si>
  <si>
    <t>430 ANG MO KIO AVE 3</t>
  </si>
  <si>
    <t>54 years 01 month</t>
  </si>
  <si>
    <t>549 BEDOK NTH AVE 1</t>
  </si>
  <si>
    <t>59 years 10 months</t>
  </si>
  <si>
    <t>116 BEDOK NTH RD</t>
  </si>
  <si>
    <t>504 BEDOK NTH ST 3</t>
  </si>
  <si>
    <t>53 years 04 months</t>
  </si>
  <si>
    <t>23 BEDOK STH AVE 1</t>
  </si>
  <si>
    <t>20 CHAI CHEE RD</t>
  </si>
  <si>
    <t>47 years 07 months</t>
  </si>
  <si>
    <t>221A BEDOK CTRL</t>
  </si>
  <si>
    <t>85 years 05 months</t>
  </si>
  <si>
    <t>512 BEDOK NTH AVE 2</t>
  </si>
  <si>
    <t>54 years 07 months</t>
  </si>
  <si>
    <t>181 BEDOK NTH RD</t>
  </si>
  <si>
    <t>81 years 02 months</t>
  </si>
  <si>
    <t>421 BEDOK NTH RD</t>
  </si>
  <si>
    <t>188B BEDOK NTH ST 4</t>
  </si>
  <si>
    <t>94 years 01 month</t>
  </si>
  <si>
    <t>602 BEDOK RESERVOIR RD</t>
  </si>
  <si>
    <t>57 years 05 months</t>
  </si>
  <si>
    <t>151 BEDOK RESERVOIR RD</t>
  </si>
  <si>
    <t>63 years 09 months</t>
  </si>
  <si>
    <t>43 BEDOK STH RD</t>
  </si>
  <si>
    <t>52 years 09 months</t>
  </si>
  <si>
    <t>672 JLN DAMAI</t>
  </si>
  <si>
    <t>71 years 07 months</t>
  </si>
  <si>
    <t>717 BEDOK RESERVOIR RD</t>
  </si>
  <si>
    <t>59 years 01 month</t>
  </si>
  <si>
    <t>769 BEDOK RESERVOIR VIEW</t>
  </si>
  <si>
    <t>76 years</t>
  </si>
  <si>
    <t>10 CHAI CHEE RD</t>
  </si>
  <si>
    <t>76 years 02 months</t>
  </si>
  <si>
    <t>26 CHAI CHEE RD</t>
  </si>
  <si>
    <t>68 years 05 months</t>
  </si>
  <si>
    <t>94B BEDOK NTH AVE 4</t>
  </si>
  <si>
    <t>EXECUTIVE</t>
  </si>
  <si>
    <t>665 JLN DAMAI</t>
  </si>
  <si>
    <t>71 years 10 months</t>
  </si>
  <si>
    <t>71 years 09 months</t>
  </si>
  <si>
    <t>180 BISHAN ST 13</t>
  </si>
  <si>
    <t>BISHAN</t>
  </si>
  <si>
    <t>63 years 04 months</t>
  </si>
  <si>
    <t>127 BISHAN ST 12</t>
  </si>
  <si>
    <t>62 years 01 month</t>
  </si>
  <si>
    <t>224 BISHAN ST 23</t>
  </si>
  <si>
    <t>67 years 09 months</t>
  </si>
  <si>
    <t>229 BISHAN ST 23</t>
  </si>
  <si>
    <t>67 years 04 months</t>
  </si>
  <si>
    <t>309 SHUNFU RD</t>
  </si>
  <si>
    <t>59 years 11 months</t>
  </si>
  <si>
    <t>179 BISHAN ST 13</t>
  </si>
  <si>
    <t>62 years 08 months</t>
  </si>
  <si>
    <t>159 BISHAN ST 13</t>
  </si>
  <si>
    <t>63 years 06 months</t>
  </si>
  <si>
    <t>404 SIN MING AVE</t>
  </si>
  <si>
    <t>61 years 07 months</t>
  </si>
  <si>
    <t>267 BT BATOK EAST AVE 4</t>
  </si>
  <si>
    <t>BUKIT BATOK</t>
  </si>
  <si>
    <t>62 years 02 months</t>
  </si>
  <si>
    <t>150 BT BATOK ST 11</t>
  </si>
  <si>
    <t>73 years 01 month</t>
  </si>
  <si>
    <t>206 BT BATOK ST 21</t>
  </si>
  <si>
    <t>293D BT BATOK ST 21</t>
  </si>
  <si>
    <t>94 years 02 months</t>
  </si>
  <si>
    <t>377 BT BATOK ST 31</t>
  </si>
  <si>
    <t>94 years 04 months</t>
  </si>
  <si>
    <t>367 BT BATOK ST 31</t>
  </si>
  <si>
    <t>363 BT BATOK ST 31</t>
  </si>
  <si>
    <t>62 years 10 months</t>
  </si>
  <si>
    <t>321 BT BATOK ST 33</t>
  </si>
  <si>
    <t>61 years 04 months</t>
  </si>
  <si>
    <t>346 BT BATOK ST 34</t>
  </si>
  <si>
    <t>61 years 01 month</t>
  </si>
  <si>
    <t>534 BT BATOK ST 51</t>
  </si>
  <si>
    <t>62 years 06 months</t>
  </si>
  <si>
    <t>448A BT BATOK WEST AVE 9</t>
  </si>
  <si>
    <t>94 years 03 months</t>
  </si>
  <si>
    <t>260 BT BATOK EAST AVE 4</t>
  </si>
  <si>
    <t>60 years 06 months</t>
  </si>
  <si>
    <t>296B BT BATOK ST 22</t>
  </si>
  <si>
    <t>386 BT BATOK WEST AVE 5</t>
  </si>
  <si>
    <t>80 years</t>
  </si>
  <si>
    <t>436A BT BATOK WEST AVE 5</t>
  </si>
  <si>
    <t>95 years 02 months</t>
  </si>
  <si>
    <t>443B BT BATOK WEST AVE 8</t>
  </si>
  <si>
    <t>448C BT BATOK WEST AVE 9</t>
  </si>
  <si>
    <t>460A BT BATOK WEST AVE 9</t>
  </si>
  <si>
    <t>95 years 05 months</t>
  </si>
  <si>
    <t>286 BT BATOK EAST AVE 3</t>
  </si>
  <si>
    <t>71 years</t>
  </si>
  <si>
    <t>110 BT BATOK WEST AVE 6</t>
  </si>
  <si>
    <t>60 years 02 months</t>
  </si>
  <si>
    <t>453A BT BATOK WEST AVE 6</t>
  </si>
  <si>
    <t>461C BT BATOK WEST AVE 8</t>
  </si>
  <si>
    <t>94 years 10 months</t>
  </si>
  <si>
    <t>48 LOWER DELTA RD</t>
  </si>
  <si>
    <t>BUKIT MERAH</t>
  </si>
  <si>
    <t>45 years 03 months</t>
  </si>
  <si>
    <t>95B HENDERSON RD</t>
  </si>
  <si>
    <t>94 years 06 months</t>
  </si>
  <si>
    <t>64 TELOK BLANGAH DR</t>
  </si>
  <si>
    <t>53 years 08 months</t>
  </si>
  <si>
    <t>70B TELOK BLANGAH HTS</t>
  </si>
  <si>
    <t>92 years 05 months</t>
  </si>
  <si>
    <t>27A JLN MEMBINA</t>
  </si>
  <si>
    <t>84 years 01 month</t>
  </si>
  <si>
    <t>27B JLN MEMBINA</t>
  </si>
  <si>
    <t>83 years 10 months</t>
  </si>
  <si>
    <t>69 REDHILL CL</t>
  </si>
  <si>
    <t>75C REDHILL RD</t>
  </si>
  <si>
    <t>82 years 01 month</t>
  </si>
  <si>
    <t>91A TELOK BLANGAH ST 31</t>
  </si>
  <si>
    <t>80A TELOK BLANGAH ST 31</t>
  </si>
  <si>
    <t>88 years 08 months</t>
  </si>
  <si>
    <t>93B TELOK BLANGAH ST 31</t>
  </si>
  <si>
    <t>94 years</t>
  </si>
  <si>
    <t>90B TELOK BLANGAH ST 31</t>
  </si>
  <si>
    <t>5 EVERTON PK</t>
  </si>
  <si>
    <t>55 years 11 months</t>
  </si>
  <si>
    <t>131B KIM TIAN RD</t>
  </si>
  <si>
    <t>77 years 02 months</t>
  </si>
  <si>
    <t>119D KIM TIAN RD</t>
  </si>
  <si>
    <t>77 years 10 months</t>
  </si>
  <si>
    <t>110 SPOTTISWOODE PK RD</t>
  </si>
  <si>
    <t>54 years 10 months</t>
  </si>
  <si>
    <t>128 PENDING RD</t>
  </si>
  <si>
    <t>BUKIT PANJANG</t>
  </si>
  <si>
    <t>LRT</t>
  </si>
  <si>
    <t>459 SEGAR RD</t>
  </si>
  <si>
    <t>90 years 08 months</t>
  </si>
  <si>
    <t>435 BT PANJANG RING RD</t>
  </si>
  <si>
    <t>64 years 01 month</t>
  </si>
  <si>
    <t>447 BT PANJANG RING RD</t>
  </si>
  <si>
    <t>72 years 06 months</t>
  </si>
  <si>
    <t>131 CASHEW RD</t>
  </si>
  <si>
    <t>420 FAJAR RD</t>
  </si>
  <si>
    <t>64 years 06 months</t>
  </si>
  <si>
    <t>510 JELAPANG RD</t>
  </si>
  <si>
    <t>73 years 06 months</t>
  </si>
  <si>
    <t>502 JELAPANG RD</t>
  </si>
  <si>
    <t>73 years 02 months</t>
  </si>
  <si>
    <t>548A SEGAR RD</t>
  </si>
  <si>
    <t>91 years 01 month</t>
  </si>
  <si>
    <t>636C SENJA RD</t>
  </si>
  <si>
    <t>90 years 11 months</t>
  </si>
  <si>
    <t>545 BT PANJANG RING RD</t>
  </si>
  <si>
    <t>74 years 07 months</t>
  </si>
  <si>
    <t>418 FAJAR RD</t>
  </si>
  <si>
    <t>64 years 02 months</t>
  </si>
  <si>
    <t>442 FAJAR RD</t>
  </si>
  <si>
    <t>73 years</t>
  </si>
  <si>
    <t>203 PETIR RD</t>
  </si>
  <si>
    <t>63 years 11 months</t>
  </si>
  <si>
    <t>413 SAUJANA RD</t>
  </si>
  <si>
    <t>610 SENJA RD</t>
  </si>
  <si>
    <t>77 years 04 months</t>
  </si>
  <si>
    <t>453 FAJAR RD</t>
  </si>
  <si>
    <t>72 years 08 months</t>
  </si>
  <si>
    <t>155 GANGSA RD</t>
  </si>
  <si>
    <t>74 years</t>
  </si>
  <si>
    <t>529 JELAPANG RD</t>
  </si>
  <si>
    <t>74 years 03 months</t>
  </si>
  <si>
    <t>663 BUFFALO RD</t>
  </si>
  <si>
    <t>CENTRAL AREA</t>
  </si>
  <si>
    <t>637 VEERASAMY RD</t>
  </si>
  <si>
    <t>60 years 05 months</t>
  </si>
  <si>
    <t>807A CHOA CHU KANG AVE 1</t>
  </si>
  <si>
    <t>411 CHOA CHU KANG AVE 3</t>
  </si>
  <si>
    <t>67 years 07 months</t>
  </si>
  <si>
    <t>413 CHOA CHU KANG AVE 3</t>
  </si>
  <si>
    <t>67 years 08 months</t>
  </si>
  <si>
    <t>417 CHOA CHU KANG AVE 4</t>
  </si>
  <si>
    <t>68 years 07 months</t>
  </si>
  <si>
    <t>484B CHOA CHU KANG AVE 5</t>
  </si>
  <si>
    <t>74 years 05 months</t>
  </si>
  <si>
    <t>690D CHOA CHU KANG CRES</t>
  </si>
  <si>
    <t>78 years 08 months</t>
  </si>
  <si>
    <t>234 CHOA CHU KANG CTRL</t>
  </si>
  <si>
    <t>64 years 04 months</t>
  </si>
  <si>
    <t>634 CHOA CHU KANG NTH 6</t>
  </si>
  <si>
    <t>564 CHOA CHU KANG ST 52</t>
  </si>
  <si>
    <t>803B KEAT HONG CL</t>
  </si>
  <si>
    <t>92 years 06 months</t>
  </si>
  <si>
    <t>816A KEAT HONG LINK</t>
  </si>
  <si>
    <t>92 years 09 months</t>
  </si>
  <si>
    <t>809A CHOA CHU KANG AVE 1</t>
  </si>
  <si>
    <t>92 years 04 months</t>
  </si>
  <si>
    <t>446 CHOA CHU KANG AVE 4</t>
  </si>
  <si>
    <t>72 years 04 months</t>
  </si>
  <si>
    <t>815C CHOA CHU KANG AVE 7</t>
  </si>
  <si>
    <t>92 years 03 months</t>
  </si>
  <si>
    <t>690A CHOA CHU KANG CRES</t>
  </si>
  <si>
    <t>78 years 05 months</t>
  </si>
  <si>
    <t>226 CHOA CHU KANG CTRL</t>
  </si>
  <si>
    <t>68 years 06 months</t>
  </si>
  <si>
    <t>212 CHOA CHU KANG CTRL</t>
  </si>
  <si>
    <t>802B KEAT HONG CL</t>
  </si>
  <si>
    <t>93 years 02 months</t>
  </si>
  <si>
    <t>817C KEAT HONG LINK</t>
  </si>
  <si>
    <t>92 years 10 months</t>
  </si>
  <si>
    <t>136 TECK WHYE LANE</t>
  </si>
  <si>
    <t>64 years 10 months</t>
  </si>
  <si>
    <t>207 CHOA CHU KANG CTRL</t>
  </si>
  <si>
    <t>65 years</t>
  </si>
  <si>
    <t>109 TECK WHYE LANE</t>
  </si>
  <si>
    <t>120 TECK WHYE LANE</t>
  </si>
  <si>
    <t>64 years 05 months</t>
  </si>
  <si>
    <t>364 CLEMENTI AVE 2</t>
  </si>
  <si>
    <t>CLEMENTI</t>
  </si>
  <si>
    <t>53 years 01 month</t>
  </si>
  <si>
    <t>426 CLEMENTI AVE 3</t>
  </si>
  <si>
    <t>312B CLEMENTI AVE 4</t>
  </si>
  <si>
    <t>92 years 08 months</t>
  </si>
  <si>
    <t>611 CLEMENTI WEST ST 1</t>
  </si>
  <si>
    <t>58 years 10 months</t>
  </si>
  <si>
    <t>703 WEST COAST RD</t>
  </si>
  <si>
    <t>55 years 09 months</t>
  </si>
  <si>
    <t>708 CLEMENTI WEST ST 2</t>
  </si>
  <si>
    <t>55 years 07 months</t>
  </si>
  <si>
    <t>337 CLEMENTI AVE 2</t>
  </si>
  <si>
    <t>53 years 11 months</t>
  </si>
  <si>
    <t>1 HAIG RD</t>
  </si>
  <si>
    <t>GEYLANG</t>
  </si>
  <si>
    <t>57 years 11 months</t>
  </si>
  <si>
    <t>27 BALAM RD</t>
  </si>
  <si>
    <t>348 UBI AVE 1</t>
  </si>
  <si>
    <t>61 years 05 months</t>
  </si>
  <si>
    <t>338 UBI AVE 1</t>
  </si>
  <si>
    <t>61 years 03 months</t>
  </si>
  <si>
    <t>415 EUNOS RD 5</t>
  </si>
  <si>
    <t>125 HOUGANG AVE 1</t>
  </si>
  <si>
    <t>56 years 08 months</t>
  </si>
  <si>
    <t>415 HOUGANG AVE 10</t>
  </si>
  <si>
    <t>60 years 09 months</t>
  </si>
  <si>
    <t>327 HOUGANG AVE 5</t>
  </si>
  <si>
    <t>58 years 03 months</t>
  </si>
  <si>
    <t>979B BUANGKOK CRES</t>
  </si>
  <si>
    <t>78 years 07 months</t>
  </si>
  <si>
    <t>980D BUANGKOK CRES</t>
  </si>
  <si>
    <t>95 years</t>
  </si>
  <si>
    <t>999B BUANGKOK CRES</t>
  </si>
  <si>
    <t>708 HOUGANG AVE 2</t>
  </si>
  <si>
    <t>417 HOUGANG AVE 8</t>
  </si>
  <si>
    <t>64 years 08 months</t>
  </si>
  <si>
    <t>932A HOUGANG AVE 9</t>
  </si>
  <si>
    <t>92 years 11 months</t>
  </si>
  <si>
    <t>910 HOUGANG ST 91</t>
  </si>
  <si>
    <t>72 years 11 months</t>
  </si>
  <si>
    <t>471B UPP SERANGOON CRES</t>
  </si>
  <si>
    <t>90 years 06 months</t>
  </si>
  <si>
    <t>238 HOUGANG AVE 1</t>
  </si>
  <si>
    <t>59 years 08 months</t>
  </si>
  <si>
    <t>580 HOUGANG AVE 4</t>
  </si>
  <si>
    <t>424 HOUGANG AVE 6</t>
  </si>
  <si>
    <t>65 years 01 month</t>
  </si>
  <si>
    <t>521 HOUGANG AVE 6</t>
  </si>
  <si>
    <t>62 years 09 months</t>
  </si>
  <si>
    <t>699A HOUGANG ST 52</t>
  </si>
  <si>
    <t>74 years 02 months</t>
  </si>
  <si>
    <t>477A UPP SERANGOON VIEW</t>
  </si>
  <si>
    <t>91 years 03 months</t>
  </si>
  <si>
    <t>622 HOUGANG AVE 8</t>
  </si>
  <si>
    <t>375 HOUGANG ST 31</t>
  </si>
  <si>
    <t>74 years 11 months</t>
  </si>
  <si>
    <t>214 JURONG EAST ST 21</t>
  </si>
  <si>
    <t>JURONG EAST</t>
  </si>
  <si>
    <t>416 PANDAN GDNS</t>
  </si>
  <si>
    <t>57 years 04 months</t>
  </si>
  <si>
    <t>55 TEBAN GDNS RD</t>
  </si>
  <si>
    <t>91 years 11 months</t>
  </si>
  <si>
    <t>36 TEBAN GDNS RD</t>
  </si>
  <si>
    <t>52 years 06 months</t>
  </si>
  <si>
    <t>52 years 07 months</t>
  </si>
  <si>
    <t>339 JURONG EAST AVE 1</t>
  </si>
  <si>
    <t>58 years 07 months</t>
  </si>
  <si>
    <t>402 PANDAN GDNS</t>
  </si>
  <si>
    <t>30 TEBAN GDNS RD</t>
  </si>
  <si>
    <t>56 years 07 months</t>
  </si>
  <si>
    <t>43 TEBAN GDNS RD</t>
  </si>
  <si>
    <t>285B TOH GUAN RD</t>
  </si>
  <si>
    <t>227 JURONG EAST ST 21</t>
  </si>
  <si>
    <t>59 years 06 months</t>
  </si>
  <si>
    <t>140C CORPORATION DR</t>
  </si>
  <si>
    <t>JURONG WEST</t>
  </si>
  <si>
    <t>140A CORPORATION DR</t>
  </si>
  <si>
    <t>185 BOON LAY AVE</t>
  </si>
  <si>
    <t>50 years 10 months</t>
  </si>
  <si>
    <t>213 BOON LAY PL</t>
  </si>
  <si>
    <t>49 years 10 months</t>
  </si>
  <si>
    <t>209 BOON LAY PL</t>
  </si>
  <si>
    <t>51 years 05 months</t>
  </si>
  <si>
    <t>140B CORPORATION DR</t>
  </si>
  <si>
    <t>150A CORPORATION DR</t>
  </si>
  <si>
    <t>94 years 05 months</t>
  </si>
  <si>
    <t>561B JURONG WEST ST 42</t>
  </si>
  <si>
    <t>515 JURONG WEST ST 52</t>
  </si>
  <si>
    <t>936 JURONG WEST ST 91</t>
  </si>
  <si>
    <t>94 years 07 months</t>
  </si>
  <si>
    <t>140D CORPORATION DR</t>
  </si>
  <si>
    <t>686C JURONG WEST CTRL 1</t>
  </si>
  <si>
    <t>75 years 10 months</t>
  </si>
  <si>
    <t>545 JURONG WEST ST 42</t>
  </si>
  <si>
    <t>60 years 04 months</t>
  </si>
  <si>
    <t>59 years 07 months</t>
  </si>
  <si>
    <t>517D JURONG WEST ST 52</t>
  </si>
  <si>
    <t>75 years 06 months</t>
  </si>
  <si>
    <t>662B JURONG WEST ST 64</t>
  </si>
  <si>
    <t>76 years 07 months</t>
  </si>
  <si>
    <t>668A JURONG WEST ST 64</t>
  </si>
  <si>
    <t>826 JURONG WEST ST 81</t>
  </si>
  <si>
    <t>65 years 04 months</t>
  </si>
  <si>
    <t>903 JURONG WEST ST 91</t>
  </si>
  <si>
    <t>63 years 08 months</t>
  </si>
  <si>
    <t>977 JURONG WEST ST 93</t>
  </si>
  <si>
    <t>987A JURONG WEST ST 93</t>
  </si>
  <si>
    <t>83 years 08 months</t>
  </si>
  <si>
    <t>263 BOON LAY DR</t>
  </si>
  <si>
    <t>70 years 06 months</t>
  </si>
  <si>
    <t>728 JURONG WEST AVE 5</t>
  </si>
  <si>
    <t>404 JURONG WEST ST 42</t>
  </si>
  <si>
    <t>59 years 09 months</t>
  </si>
  <si>
    <t>551 JURONG WEST ST 42</t>
  </si>
  <si>
    <t>60 years 03 months</t>
  </si>
  <si>
    <t>652A JURONG WEST ST 61</t>
  </si>
  <si>
    <t>77 years 06 months</t>
  </si>
  <si>
    <t>602 JURONG WEST ST 62</t>
  </si>
  <si>
    <t>843 JURONG WEST ST 81</t>
  </si>
  <si>
    <t>548 JURONG WEST ST 42</t>
  </si>
  <si>
    <t>558 JURONG WEST ST 42</t>
  </si>
  <si>
    <t>60 years 07 months</t>
  </si>
  <si>
    <t>605 JURONG WEST ST 62</t>
  </si>
  <si>
    <t>76 years 04 months</t>
  </si>
  <si>
    <t>912 JURONG WEST ST 91</t>
  </si>
  <si>
    <t>63 years 10 months</t>
  </si>
  <si>
    <t>57 GEYLANG BAHRU</t>
  </si>
  <si>
    <t>KALLANG/WHAMPOA</t>
  </si>
  <si>
    <t>49 years 07 months</t>
  </si>
  <si>
    <t>10C BENDEMEER RD</t>
  </si>
  <si>
    <t>93 years</t>
  </si>
  <si>
    <t>6 BOON KENG RD</t>
  </si>
  <si>
    <t>71 years 11 months</t>
  </si>
  <si>
    <t>110 WHAMPOA RD</t>
  </si>
  <si>
    <t>103 JLN RAJAH</t>
  </si>
  <si>
    <t>59 years 04 months</t>
  </si>
  <si>
    <t>104 TOWNER RD</t>
  </si>
  <si>
    <t>58 years 06 months</t>
  </si>
  <si>
    <t>67 MARINE DR</t>
  </si>
  <si>
    <t>MARINE PARADE</t>
  </si>
  <si>
    <t>51 years 03 months</t>
  </si>
  <si>
    <t>6 MARINE TER</t>
  </si>
  <si>
    <t>50 years 01 month</t>
  </si>
  <si>
    <t>In Progress</t>
  </si>
  <si>
    <t>61 MARINE DR</t>
  </si>
  <si>
    <t>51 years 01 month</t>
  </si>
  <si>
    <t>5 CHANGI VILLAGE RD</t>
  </si>
  <si>
    <t>PASIR RIS</t>
  </si>
  <si>
    <t>530A PASIR RIS DR 1</t>
  </si>
  <si>
    <t>530B PASIR RIS DR 1</t>
  </si>
  <si>
    <t>90 years 05 months</t>
  </si>
  <si>
    <t>440 PASIR RIS DR 4</t>
  </si>
  <si>
    <t>481 PASIR RIS DR 4</t>
  </si>
  <si>
    <t>68 years</t>
  </si>
  <si>
    <t>528B PASIR RIS ST 51</t>
  </si>
  <si>
    <t>90 years 07 months</t>
  </si>
  <si>
    <t>571 PASIR RIS ST 53</t>
  </si>
  <si>
    <t>70 years 11 months</t>
  </si>
  <si>
    <t>722 PASIR RIS ST 72</t>
  </si>
  <si>
    <t>706 PASIR RIS DR 10</t>
  </si>
  <si>
    <t>71 years 02 months</t>
  </si>
  <si>
    <t>461 PASIR RIS DR 4</t>
  </si>
  <si>
    <t>762 PASIR RIS ST 71</t>
  </si>
  <si>
    <t>603 ELIAS RD</t>
  </si>
  <si>
    <t>70 years 03 months</t>
  </si>
  <si>
    <t>209C PUNGGOL PL</t>
  </si>
  <si>
    <t>90 years</t>
  </si>
  <si>
    <t>682C EDGEDALE PLAINS</t>
  </si>
  <si>
    <t>93 years 08 months</t>
  </si>
  <si>
    <t>602B PUNGGOL CTRL</t>
  </si>
  <si>
    <t>87 years 07 months</t>
  </si>
  <si>
    <t>666A PUNGGOL DR</t>
  </si>
  <si>
    <t>659B PUNGGOL EAST</t>
  </si>
  <si>
    <t>314B PUNGGOL WAY</t>
  </si>
  <si>
    <t>256B SUMANG WALK</t>
  </si>
  <si>
    <t>92 years</t>
  </si>
  <si>
    <t>322C SUMANG WALK</t>
  </si>
  <si>
    <t>661A EDGEDALE PLAINS</t>
  </si>
  <si>
    <t>614B EDGEFIELD PLAINS</t>
  </si>
  <si>
    <t>88 years</t>
  </si>
  <si>
    <t>167C PUNGGOL EAST</t>
  </si>
  <si>
    <t>84 years 03 months</t>
  </si>
  <si>
    <t>268B PUNGGOL FIELD</t>
  </si>
  <si>
    <t>88 years 01 month</t>
  </si>
  <si>
    <t>267A PUNGGOL FIELD</t>
  </si>
  <si>
    <t>302D PUNGGOL PL</t>
  </si>
  <si>
    <t>86 years 03 months</t>
  </si>
  <si>
    <t>603B PUNGGOL RD</t>
  </si>
  <si>
    <t>211B PUNGGOL WALK</t>
  </si>
  <si>
    <t>89 years 04 months</t>
  </si>
  <si>
    <t>314A PUNGGOL WAY</t>
  </si>
  <si>
    <t>323C SUMANG WALK</t>
  </si>
  <si>
    <t>174A EDGEDALE PLAINS</t>
  </si>
  <si>
    <t>78 years 10 months</t>
  </si>
  <si>
    <t>103A EDGEFIELD PLAINS</t>
  </si>
  <si>
    <t>201D PUNGGOL FIELD</t>
  </si>
  <si>
    <t>79 years 07 months</t>
  </si>
  <si>
    <t>106D PUNGGOL FIELD</t>
  </si>
  <si>
    <t>78 years 02 months</t>
  </si>
  <si>
    <t>310B PUNGGOL WALK</t>
  </si>
  <si>
    <t>91 years 07 months</t>
  </si>
  <si>
    <t>83 C'WEALTH CL</t>
  </si>
  <si>
    <t>42 years 02 months</t>
  </si>
  <si>
    <t>27 GHIM MOH LINK</t>
  </si>
  <si>
    <t>88 years 04 months</t>
  </si>
  <si>
    <t>6 HOLLAND CL</t>
  </si>
  <si>
    <t>49 years 06 months</t>
  </si>
  <si>
    <t>18 DOVER CRES</t>
  </si>
  <si>
    <t>78 years 09 months</t>
  </si>
  <si>
    <t>33 GHIM MOH LINK</t>
  </si>
  <si>
    <t>93 years 06 months</t>
  </si>
  <si>
    <t>12 HOLLAND AVE</t>
  </si>
  <si>
    <t>56 STRATHMORE AVE</t>
  </si>
  <si>
    <t>77 years 05 months</t>
  </si>
  <si>
    <t>26 DOVER CRES</t>
  </si>
  <si>
    <t>128B CANBERRA ST</t>
  </si>
  <si>
    <t>SEMBAWANG</t>
  </si>
  <si>
    <t>93 years 10 months</t>
  </si>
  <si>
    <t>591A MONTREAL LINK</t>
  </si>
  <si>
    <t>363B SEMBAWANG CRES</t>
  </si>
  <si>
    <t>469A ADMIRALTY DR</t>
  </si>
  <si>
    <t>76 years 09 months</t>
  </si>
  <si>
    <t>467B ADMIRALTY DR</t>
  </si>
  <si>
    <t>76 years 08 months</t>
  </si>
  <si>
    <t>485 ADMIRALTY LINK</t>
  </si>
  <si>
    <t>350C CANBERRA RD</t>
  </si>
  <si>
    <t>76 years 10 months</t>
  </si>
  <si>
    <t>104C CANBERRA ST</t>
  </si>
  <si>
    <t>107A CANBERRA ST</t>
  </si>
  <si>
    <t>329 SEMBAWANG CL</t>
  </si>
  <si>
    <t>365B SEMBAWANG CRES</t>
  </si>
  <si>
    <t>501C WELLINGTON CIRCLE</t>
  </si>
  <si>
    <t>468B ADMIRALTY DR</t>
  </si>
  <si>
    <t>76 years 05 months</t>
  </si>
  <si>
    <t>339B SEMBAWANG CL</t>
  </si>
  <si>
    <t>76 years 06 months</t>
  </si>
  <si>
    <t>209A COMPASSVALE LANE</t>
  </si>
  <si>
    <t>SENGKANG</t>
  </si>
  <si>
    <t>86 years 11 months</t>
  </si>
  <si>
    <t>441D FERNVALE RD</t>
  </si>
  <si>
    <t>87 years 02 months</t>
  </si>
  <si>
    <t>326A ANCHORVALE RD</t>
  </si>
  <si>
    <t>90 years 04 months</t>
  </si>
  <si>
    <t>288B COMPASSVALE CRES</t>
  </si>
  <si>
    <t>296B COMPASSVALE CRES</t>
  </si>
  <si>
    <t>77 years 01 month</t>
  </si>
  <si>
    <t>289A COMPASSVALE CRES</t>
  </si>
  <si>
    <t>259B COMPASSVALE RD</t>
  </si>
  <si>
    <t>76 years 01 month</t>
  </si>
  <si>
    <t>291D COMPASSVALE ST</t>
  </si>
  <si>
    <t>467A FERNVALE LINK</t>
  </si>
  <si>
    <t>91 years 08 months</t>
  </si>
  <si>
    <t>409B FERNVALE RD</t>
  </si>
  <si>
    <t>80 years 01 month</t>
  </si>
  <si>
    <t>472C FERNVALE ST</t>
  </si>
  <si>
    <t>91 years 09 months</t>
  </si>
  <si>
    <t>142 RIVERVALE CRES</t>
  </si>
  <si>
    <t>178D RIVERVALE CRES</t>
  </si>
  <si>
    <t>90 years 03 months</t>
  </si>
  <si>
    <t>164C RIVERVALE CRES</t>
  </si>
  <si>
    <t>121B RIVERVALE DR</t>
  </si>
  <si>
    <t>75 years 07 months</t>
  </si>
  <si>
    <t>324A SENGKANG EAST WAY</t>
  </si>
  <si>
    <t>78 years 03 months</t>
  </si>
  <si>
    <t>452B SENGKANG WEST WAY</t>
  </si>
  <si>
    <t>305C ANCHORVALE LINK</t>
  </si>
  <si>
    <t>76 years 11 months</t>
  </si>
  <si>
    <t>291A COMPASSVALE ST</t>
  </si>
  <si>
    <t>297A COMPASSVALE ST</t>
  </si>
  <si>
    <t>262A COMPASSVALE ST</t>
  </si>
  <si>
    <t>408A FERNVALE RD</t>
  </si>
  <si>
    <t>185A RIVERVALE CRES</t>
  </si>
  <si>
    <t>133 RIVERVALE ST</t>
  </si>
  <si>
    <t>306B ANCHORVALE LINK</t>
  </si>
  <si>
    <t>77 years</t>
  </si>
  <si>
    <t>302D ANCHORVALE LINK</t>
  </si>
  <si>
    <t>103 RIVERVALE WALK</t>
  </si>
  <si>
    <t>230 SERANGOON AVE 4</t>
  </si>
  <si>
    <t>SERANGOON</t>
  </si>
  <si>
    <t>115 SERANGOON NTH AVE 1</t>
  </si>
  <si>
    <t>108 SERANGOON NTH AVE 1</t>
  </si>
  <si>
    <t>315 SERANGOON AVE 2</t>
  </si>
  <si>
    <t>401 SERANGOON AVE 1</t>
  </si>
  <si>
    <t>64 years 03 months</t>
  </si>
  <si>
    <t>202 SERANGOON CTRL</t>
  </si>
  <si>
    <t>61 years</t>
  </si>
  <si>
    <t>890C TAMPINES AVE 1</t>
  </si>
  <si>
    <t>TAMPINES</t>
  </si>
  <si>
    <t>90 years 09 months</t>
  </si>
  <si>
    <t>110 TAMPINES ST 11</t>
  </si>
  <si>
    <t>59 years 03 months</t>
  </si>
  <si>
    <t>145 TAMPINES ST 12</t>
  </si>
  <si>
    <t>249 TAMPINES ST 21</t>
  </si>
  <si>
    <t>273 TAMPINES ST 22</t>
  </si>
  <si>
    <t>494E TAMPINES ST 43</t>
  </si>
  <si>
    <t>90 years 10 months</t>
  </si>
  <si>
    <t>605B TAMPINES ST 61</t>
  </si>
  <si>
    <t>162 SIMEI RD</t>
  </si>
  <si>
    <t>232 SIMEI ST 4</t>
  </si>
  <si>
    <t>64 years 07 months</t>
  </si>
  <si>
    <t>859 TAMPINES AVE 5</t>
  </si>
  <si>
    <t>63 years 07 months</t>
  </si>
  <si>
    <t>367 TAMPINES ST 34</t>
  </si>
  <si>
    <t>72 years 05 months</t>
  </si>
  <si>
    <t>446 TAMPINES ST 42</t>
  </si>
  <si>
    <t>498E TAMPINES ST 45</t>
  </si>
  <si>
    <t>489C TAMPINES ST 45</t>
  </si>
  <si>
    <t>489B TAMPINES ST 45</t>
  </si>
  <si>
    <t>68 years 10 months</t>
  </si>
  <si>
    <t>605A TAMPINES ST 61</t>
  </si>
  <si>
    <t>605C TAMPINES ST 61</t>
  </si>
  <si>
    <t>818 TAMPINES ST 81</t>
  </si>
  <si>
    <t>925 TAMPINES ST 91</t>
  </si>
  <si>
    <t>167B SIMEI LANE</t>
  </si>
  <si>
    <t>168D SIMEI LANE</t>
  </si>
  <si>
    <t>146 SIMEI ST 2</t>
  </si>
  <si>
    <t>383 TAMPINES ST 32</t>
  </si>
  <si>
    <t>723 TAMPINES ST 72</t>
  </si>
  <si>
    <t>888A TAMPINES ST 81</t>
  </si>
  <si>
    <t>124 TAMPINES ST 11</t>
  </si>
  <si>
    <t>61 years 02 months</t>
  </si>
  <si>
    <t>429 TAMPINES ST 41</t>
  </si>
  <si>
    <t>107 LOR 1 TOA PAYOH</t>
  </si>
  <si>
    <t>TOA PAYOH</t>
  </si>
  <si>
    <t>45 years 01 month</t>
  </si>
  <si>
    <t>173 LOR 1 TOA PAYOH</t>
  </si>
  <si>
    <t>85A LOR 4 TOA PAYOH</t>
  </si>
  <si>
    <t>47 years 01 month</t>
  </si>
  <si>
    <t>9 LOR 7 TOA PAYOH</t>
  </si>
  <si>
    <t>45 years 08 months</t>
  </si>
  <si>
    <t>234 LOR 8 TOA PAYOH</t>
  </si>
  <si>
    <t>51 years 09 months</t>
  </si>
  <si>
    <t>130B LOR 1 TOA PAYOH</t>
  </si>
  <si>
    <t>152 LOR 2 TOA PAYOH</t>
  </si>
  <si>
    <t>81 years 01 month</t>
  </si>
  <si>
    <t>121 POTONG PASIR AVE 1</t>
  </si>
  <si>
    <t>79A TOA PAYOH CTRL</t>
  </si>
  <si>
    <t>84 years 04 months</t>
  </si>
  <si>
    <t>264 TOA PAYOH EAST</t>
  </si>
  <si>
    <t>11 JOO SENG RD</t>
  </si>
  <si>
    <t>58 years 05 months</t>
  </si>
  <si>
    <t>216 LOR 8 TOA PAYOH</t>
  </si>
  <si>
    <t>50 years 09 months</t>
  </si>
  <si>
    <t>693C WOODLANDS AVE 6</t>
  </si>
  <si>
    <t>93 years 09 months</t>
  </si>
  <si>
    <t>573B WOODLANDS DR 16</t>
  </si>
  <si>
    <t>93 years 07 months</t>
  </si>
  <si>
    <t>182A WOODLANDS ST 13</t>
  </si>
  <si>
    <t>204 MARSILING DR</t>
  </si>
  <si>
    <t>56 years 04 months</t>
  </si>
  <si>
    <t>13 MARSILING LANE</t>
  </si>
  <si>
    <t>51 years 04 months</t>
  </si>
  <si>
    <t>130 MARSILING RISE</t>
  </si>
  <si>
    <t>148 WOODLANDS ST 13</t>
  </si>
  <si>
    <t>616 WOODLANDS AVE 4</t>
  </si>
  <si>
    <t>73 years 05 months</t>
  </si>
  <si>
    <t>693A WOODLANDS AVE 6</t>
  </si>
  <si>
    <t>876 WOODLANDS AVE 9</t>
  </si>
  <si>
    <t>71 years 06 months</t>
  </si>
  <si>
    <t>526 WOODLANDS DR 14</t>
  </si>
  <si>
    <t>75 years 03 months</t>
  </si>
  <si>
    <t>508 WOODLANDS DR 14</t>
  </si>
  <si>
    <t>74 years 01 month</t>
  </si>
  <si>
    <t>574A WOODLANDS DR 16</t>
  </si>
  <si>
    <t>897A WOODLANDS DR 50</t>
  </si>
  <si>
    <t>72 years 09 months</t>
  </si>
  <si>
    <t>890B WOODLANDS DR 50</t>
  </si>
  <si>
    <t>92 years 07 months</t>
  </si>
  <si>
    <t>611 WOODLANDS RING RD</t>
  </si>
  <si>
    <t>73 years 03 months</t>
  </si>
  <si>
    <t>662 WOODLANDS RING RD</t>
  </si>
  <si>
    <t>183C WOODLANDS ST 13</t>
  </si>
  <si>
    <t>185B WOODLANDS ST 13</t>
  </si>
  <si>
    <t>318 WOODLANDS ST 31</t>
  </si>
  <si>
    <t>69 years 01 month</t>
  </si>
  <si>
    <t>364 WOODLANDS AVE 5</t>
  </si>
  <si>
    <t>777 WOODLANDS CRES</t>
  </si>
  <si>
    <t>535 WOODLANDS DR 14</t>
  </si>
  <si>
    <t>74 years 08 months</t>
  </si>
  <si>
    <t>715 WOODLANDS DR 70</t>
  </si>
  <si>
    <t>691C WOODLANDS DR 73</t>
  </si>
  <si>
    <t>165 WOODLANDS ST 13</t>
  </si>
  <si>
    <t>183A WOODLANDS ST 13</t>
  </si>
  <si>
    <t>184A WOODLANDS ST 13</t>
  </si>
  <si>
    <t>851 WOODLANDS ST 83</t>
  </si>
  <si>
    <t>71 years 05 months</t>
  </si>
  <si>
    <t>142 MARSILING RD</t>
  </si>
  <si>
    <t>70 years 04 months</t>
  </si>
  <si>
    <t>647 WOODLANDS RING RD</t>
  </si>
  <si>
    <t>73 years 08 months</t>
  </si>
  <si>
    <t>459 YISHUN AVE 11</t>
  </si>
  <si>
    <t>YISHUN</t>
  </si>
  <si>
    <t>656 YISHUN AVE 4</t>
  </si>
  <si>
    <t>675D YISHUN AVE 4</t>
  </si>
  <si>
    <t>114 YISHUN RING RD</t>
  </si>
  <si>
    <t>140 YISHUN RING RD</t>
  </si>
  <si>
    <t>225 YISHUN ST 21</t>
  </si>
  <si>
    <t>822 YISHUN ST 81</t>
  </si>
  <si>
    <t>67 years 06 months</t>
  </si>
  <si>
    <t>823 YISHUN ST 81</t>
  </si>
  <si>
    <t>458 YISHUN AVE 11</t>
  </si>
  <si>
    <t>348B YISHUN AVE 11</t>
  </si>
  <si>
    <t>88 years 10 months</t>
  </si>
  <si>
    <t>350 YISHUN AVE 11</t>
  </si>
  <si>
    <t>673C YISHUN AVE 4</t>
  </si>
  <si>
    <t>93 years 11 months</t>
  </si>
  <si>
    <t>673A YISHUN AVE 4</t>
  </si>
  <si>
    <t>462B YISHUN AVE 6</t>
  </si>
  <si>
    <t>94 years 08 months</t>
  </si>
  <si>
    <t>462D YISHUN AVE 6</t>
  </si>
  <si>
    <t>450 YISHUN RING RD</t>
  </si>
  <si>
    <t>87 years 08 months</t>
  </si>
  <si>
    <t>449 YISHUN RING RD</t>
  </si>
  <si>
    <t>147 YISHUN ST 11</t>
  </si>
  <si>
    <t>216 YISHUN ST 21</t>
  </si>
  <si>
    <t>264 YISHUN ST 22</t>
  </si>
  <si>
    <t>513B YISHUN ST 51</t>
  </si>
  <si>
    <t>505A YISHUN ST 51</t>
  </si>
  <si>
    <t>502C YISHUN ST 51</t>
  </si>
  <si>
    <t>93 years 01 month</t>
  </si>
  <si>
    <t>715 YISHUN ST 71</t>
  </si>
  <si>
    <t>879 YISHUN ST 81</t>
  </si>
  <si>
    <t>170 YISHUN AVE 7</t>
  </si>
  <si>
    <t>61 years 08 months</t>
  </si>
  <si>
    <t>366 YISHUN RING RD</t>
  </si>
  <si>
    <t>357 YISHUN RING RD</t>
  </si>
  <si>
    <t>223 YISHUN ST 21</t>
  </si>
  <si>
    <t>213 YISHUN ST 21</t>
  </si>
  <si>
    <t>505C YISHUN ST 51</t>
  </si>
  <si>
    <t>513C YISHUN ST 51</t>
  </si>
  <si>
    <t>602 YISHUN ST 61</t>
  </si>
  <si>
    <t>62 years 05 months</t>
  </si>
  <si>
    <t>356 YISHUN RING RD</t>
  </si>
  <si>
    <t>Avg Price</t>
  </si>
  <si>
    <t>Comparison of Selected Flat Type in Various Towns</t>
  </si>
  <si>
    <t>Comparison of Various Flat Types in Selected Town</t>
  </si>
  <si>
    <t>Flat Type:</t>
  </si>
  <si>
    <t>Town:</t>
  </si>
  <si>
    <t>Towns to Include:</t>
  </si>
  <si>
    <t>Flat Types of Include:</t>
  </si>
  <si>
    <t>This tab shows you all current BTO Projects, their prices ranges and the available amenities nearby.</t>
  </si>
  <si>
    <t>4. Resale Market Consolidated</t>
  </si>
  <si>
    <t>5. Resale Market Flats</t>
  </si>
  <si>
    <t>This tab shows you all current available Resale Flats, their prices ranges and the available amenities nearby.</t>
  </si>
  <si>
    <t>Input the cost of HDB, the percentage of flat price to be loaned and select the Repayment Duration to find out how much to repay each month.</t>
  </si>
  <si>
    <t>Allows you to compare average prices of flats available in the resale market by Flat Type and Town.</t>
  </si>
  <si>
    <t>← key in here</t>
  </si>
  <si>
    <t>💰 Find Out What Your Loans Eventually Translate Into</t>
  </si>
  <si>
    <t>&lt;=600000</t>
  </si>
  <si>
    <t xml:space="preserve">Total interest </t>
  </si>
  <si>
    <t>Loan amount (1st month)</t>
  </si>
  <si>
    <t>Total Interest rate ( &gt;60 months)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</si>
</sst>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_(&quot;$&quot;* #,##0_);_(&quot;$&quot;* \(#,##0\);_(&quot;$&quot;* &quot;-&quot;??_);_(@_)"/>
    <numFmt numFmtId="166" formatCode="_-[$$-409]* #,##0.00_ ;_-[$$-409]* \-#,##0.00\ ;_-[$$-409]* &quot;-&quot;??_ ;_-@_ "/>
  </numFmts>
  <fonts count="2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sz val="10"/>
      <color rgb="FF000000"/>
      <name val="Helvetica Neue"/>
      <family val="2"/>
    </font>
    <font>
      <sz val="12"/>
      <color rgb="FF000000"/>
      <name val="Calibri (Body)"/>
    </font>
    <font>
      <b/>
      <u/>
      <sz val="12"/>
      <color theme="1"/>
      <name val="Calibri (Body)"/>
    </font>
    <font>
      <sz val="8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 (Body)"/>
    </font>
    <font>
      <b/>
      <i/>
      <sz val="9"/>
      <color rgb="FF000000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b/>
      <u/>
      <sz val="18"/>
      <color theme="1"/>
      <name val="Calibri (Body)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4"/>
      <color theme="1"/>
      <name val="Calibri (Body)"/>
    </font>
    <font>
      <sz val="12"/>
      <color rgb="FFFF0000"/>
      <name val="Calibri"/>
      <family val="2"/>
      <scheme val="minor"/>
    </font>
    <font>
      <sz val="12"/>
      <color theme="1"/>
      <name val="Calibri (Body)"/>
    </font>
    <font>
      <sz val="13"/>
      <color rgb="FF000000"/>
      <name val="Lucida Grande"/>
      <family val="2"/>
    </font>
    <font>
      <sz val="11.3"/>
      <color rgb="FF000000"/>
      <name val="Aptos Narrow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7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209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/>
    </xf>
    <xf numFmtId="0" fontId="2" fillId="0" borderId="0" xfId="0" applyFont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8" xfId="0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 wrapText="1"/>
    </xf>
    <xf numFmtId="44" fontId="3" fillId="0" borderId="2" xfId="1" applyFont="1" applyBorder="1" applyAlignment="1">
      <alignment vertical="center"/>
    </xf>
    <xf numFmtId="44" fontId="3" fillId="0" borderId="2" xfId="1" applyFont="1" applyBorder="1" applyAlignment="1"/>
    <xf numFmtId="44" fontId="3" fillId="0" borderId="3" xfId="1" applyFont="1" applyBorder="1" applyAlignment="1"/>
    <xf numFmtId="44" fontId="0" fillId="0" borderId="2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44" fontId="6" fillId="0" borderId="9" xfId="1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44" fontId="6" fillId="0" borderId="10" xfId="1" applyFont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44" fontId="6" fillId="0" borderId="11" xfId="1" applyFont="1" applyBorder="1" applyAlignment="1">
      <alignment horizontal="center"/>
    </xf>
    <xf numFmtId="0" fontId="8" fillId="0" borderId="0" xfId="0" applyFont="1"/>
    <xf numFmtId="0" fontId="2" fillId="0" borderId="0" xfId="0" applyFont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 vertical="center" wrapText="1"/>
    </xf>
    <xf numFmtId="0" fontId="0" fillId="0" borderId="0" xfId="0" quotePrefix="1" applyAlignment="1">
      <alignment horizontal="center"/>
    </xf>
    <xf numFmtId="44" fontId="0" fillId="0" borderId="0" xfId="1" applyFont="1" applyAlignment="1">
      <alignment horizontal="center"/>
    </xf>
    <xf numFmtId="0" fontId="9" fillId="0" borderId="0" xfId="0" applyFont="1" applyAlignment="1">
      <alignment horizontal="center" vertical="top"/>
    </xf>
    <xf numFmtId="0" fontId="10" fillId="0" borderId="0" xfId="0" applyFont="1"/>
    <xf numFmtId="0" fontId="11" fillId="0" borderId="0" xfId="0" applyFont="1"/>
    <xf numFmtId="0" fontId="6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44" fontId="0" fillId="0" borderId="22" xfId="1" applyFont="1" applyBorder="1" applyAlignment="1">
      <alignment horizontal="center"/>
    </xf>
    <xf numFmtId="0" fontId="0" fillId="0" borderId="22" xfId="0" quotePrefix="1" applyBorder="1" applyAlignment="1">
      <alignment horizontal="center"/>
    </xf>
    <xf numFmtId="0" fontId="0" fillId="0" borderId="20" xfId="0" applyBorder="1" applyAlignment="1">
      <alignment horizontal="center"/>
    </xf>
    <xf numFmtId="44" fontId="0" fillId="0" borderId="0" xfId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44" fontId="0" fillId="0" borderId="12" xfId="1" applyFont="1" applyBorder="1" applyAlignment="1">
      <alignment horizontal="center"/>
    </xf>
    <xf numFmtId="44" fontId="0" fillId="0" borderId="13" xfId="1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44" fontId="0" fillId="0" borderId="21" xfId="1" applyFont="1" applyBorder="1" applyAlignment="1">
      <alignment horizontal="center"/>
    </xf>
    <xf numFmtId="44" fontId="0" fillId="0" borderId="20" xfId="1" applyFont="1" applyBorder="1" applyAlignment="1">
      <alignment horizontal="center"/>
    </xf>
    <xf numFmtId="0" fontId="12" fillId="0" borderId="0" xfId="0" applyFont="1"/>
    <xf numFmtId="0" fontId="13" fillId="6" borderId="0" xfId="0" applyFont="1" applyFill="1"/>
    <xf numFmtId="0" fontId="0" fillId="6" borderId="0" xfId="0" applyFill="1"/>
    <xf numFmtId="0" fontId="17" fillId="0" borderId="0" xfId="0" applyFont="1" applyAlignment="1">
      <alignment horizontal="center"/>
    </xf>
    <xf numFmtId="0" fontId="11" fillId="5" borderId="25" xfId="0" applyFont="1" applyFill="1" applyBorder="1" applyAlignment="1">
      <alignment horizontal="center" vertical="center"/>
    </xf>
    <xf numFmtId="0" fontId="11" fillId="5" borderId="26" xfId="0" applyFont="1" applyFill="1" applyBorder="1" applyAlignment="1">
      <alignment horizontal="center" vertical="center"/>
    </xf>
    <xf numFmtId="0" fontId="11" fillId="5" borderId="27" xfId="0" applyFont="1" applyFill="1" applyBorder="1" applyAlignment="1">
      <alignment horizontal="center" vertical="center"/>
    </xf>
    <xf numFmtId="0" fontId="19" fillId="0" borderId="28" xfId="0" applyFont="1" applyBorder="1" applyAlignment="1">
      <alignment horizontal="center"/>
    </xf>
    <xf numFmtId="0" fontId="19" fillId="0" borderId="29" xfId="0" applyFont="1" applyBorder="1" applyAlignment="1">
      <alignment horizontal="center"/>
    </xf>
    <xf numFmtId="44" fontId="19" fillId="0" borderId="30" xfId="1" applyFont="1" applyBorder="1" applyAlignment="1">
      <alignment horizontal="center"/>
    </xf>
    <xf numFmtId="0" fontId="2" fillId="7" borderId="31" xfId="0" applyFont="1" applyFill="1" applyBorder="1" applyAlignment="1">
      <alignment horizontal="center" vertical="center"/>
    </xf>
    <xf numFmtId="0" fontId="2" fillId="7" borderId="32" xfId="0" applyFont="1" applyFill="1" applyBorder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164" fontId="2" fillId="8" borderId="32" xfId="0" applyNumberFormat="1" applyFont="1" applyFill="1" applyBorder="1" applyAlignment="1">
      <alignment horizontal="center" vertical="center" wrapText="1"/>
    </xf>
    <xf numFmtId="0" fontId="14" fillId="8" borderId="33" xfId="0" applyFont="1" applyFill="1" applyBorder="1" applyAlignment="1">
      <alignment horizontal="center" vertical="center" wrapText="1"/>
    </xf>
    <xf numFmtId="0" fontId="2" fillId="8" borderId="32" xfId="0" applyFont="1" applyFill="1" applyBorder="1" applyAlignment="1">
      <alignment horizontal="center" vertical="center" wrapText="1"/>
    </xf>
    <xf numFmtId="164" fontId="2" fillId="8" borderId="33" xfId="0" applyNumberFormat="1" applyFont="1" applyFill="1" applyBorder="1" applyAlignment="1">
      <alignment horizontal="center" vertical="center" wrapText="1"/>
    </xf>
    <xf numFmtId="164" fontId="2" fillId="8" borderId="34" xfId="0" applyNumberFormat="1" applyFont="1" applyFill="1" applyBorder="1" applyAlignment="1">
      <alignment horizontal="center" vertical="center" wrapText="1"/>
    </xf>
    <xf numFmtId="0" fontId="2" fillId="3" borderId="34" xfId="0" applyFont="1" applyFill="1" applyBorder="1" applyAlignment="1">
      <alignment horizontal="center" vertical="center" wrapText="1"/>
    </xf>
    <xf numFmtId="0" fontId="2" fillId="3" borderId="35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44" fontId="0" fillId="0" borderId="42" xfId="1" applyFont="1" applyBorder="1" applyAlignment="1">
      <alignment horizontal="center"/>
    </xf>
    <xf numFmtId="0" fontId="0" fillId="0" borderId="43" xfId="0" quotePrefix="1" applyBorder="1" applyAlignment="1">
      <alignment horizontal="center"/>
    </xf>
    <xf numFmtId="44" fontId="0" fillId="0" borderId="43" xfId="1" applyFont="1" applyBorder="1" applyAlignment="1">
      <alignment horizontal="center"/>
    </xf>
    <xf numFmtId="44" fontId="0" fillId="0" borderId="44" xfId="1" applyFon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2" fillId="7" borderId="50" xfId="0" applyFont="1" applyFill="1" applyBorder="1" applyAlignment="1">
      <alignment horizontal="center" vertical="center"/>
    </xf>
    <xf numFmtId="0" fontId="2" fillId="7" borderId="51" xfId="0" applyFont="1" applyFill="1" applyBorder="1" applyAlignment="1">
      <alignment horizontal="center" vertical="center"/>
    </xf>
    <xf numFmtId="0" fontId="2" fillId="7" borderId="52" xfId="0" applyFont="1" applyFill="1" applyBorder="1" applyAlignment="1">
      <alignment horizontal="center" vertical="center"/>
    </xf>
    <xf numFmtId="164" fontId="2" fillId="8" borderId="51" xfId="0" applyNumberFormat="1" applyFont="1" applyFill="1" applyBorder="1" applyAlignment="1">
      <alignment horizontal="center" vertical="center" wrapText="1"/>
    </xf>
    <xf numFmtId="0" fontId="2" fillId="9" borderId="53" xfId="0" applyFont="1" applyFill="1" applyBorder="1" applyAlignment="1">
      <alignment horizontal="center" vertical="center" wrapText="1"/>
    </xf>
    <xf numFmtId="0" fontId="2" fillId="9" borderId="51" xfId="0" applyFont="1" applyFill="1" applyBorder="1" applyAlignment="1">
      <alignment horizontal="center" vertical="center"/>
    </xf>
    <xf numFmtId="44" fontId="0" fillId="0" borderId="0" xfId="1" applyFont="1" applyFill="1" applyBorder="1" applyAlignment="1">
      <alignment horizontal="center" vertical="center"/>
    </xf>
    <xf numFmtId="44" fontId="3" fillId="0" borderId="0" xfId="1" applyFont="1" applyFill="1" applyBorder="1" applyAlignment="1">
      <alignment vertical="center"/>
    </xf>
    <xf numFmtId="44" fontId="0" fillId="0" borderId="0" xfId="1" applyFont="1" applyFill="1" applyBorder="1" applyAlignment="1">
      <alignment horizontal="center"/>
    </xf>
    <xf numFmtId="44" fontId="3" fillId="0" borderId="0" xfId="1" applyFont="1" applyFill="1" applyBorder="1" applyAlignment="1"/>
    <xf numFmtId="44" fontId="0" fillId="0" borderId="0" xfId="1" applyFont="1" applyBorder="1"/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/>
    </xf>
    <xf numFmtId="44" fontId="6" fillId="0" borderId="0" xfId="1" applyFont="1" applyFill="1" applyBorder="1" applyAlignment="1">
      <alignment horizontal="center"/>
    </xf>
    <xf numFmtId="0" fontId="0" fillId="4" borderId="54" xfId="0" applyFill="1" applyBorder="1" applyAlignment="1">
      <alignment horizontal="center" vertical="center"/>
    </xf>
    <xf numFmtId="44" fontId="0" fillId="0" borderId="55" xfId="1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44" fontId="0" fillId="0" borderId="56" xfId="1" applyFont="1" applyBorder="1" applyAlignment="1">
      <alignment horizontal="center" vertical="center"/>
    </xf>
    <xf numFmtId="0" fontId="0" fillId="2" borderId="15" xfId="0" applyFill="1" applyBorder="1" applyAlignment="1">
      <alignment horizontal="center"/>
    </xf>
    <xf numFmtId="44" fontId="0" fillId="0" borderId="0" xfId="1" applyFont="1" applyBorder="1" applyAlignment="1">
      <alignment horizontal="center" vertical="center"/>
    </xf>
    <xf numFmtId="0" fontId="20" fillId="0" borderId="0" xfId="0" applyFont="1"/>
    <xf numFmtId="0" fontId="0" fillId="4" borderId="57" xfId="0" applyFill="1" applyBorder="1" applyAlignment="1">
      <alignment horizontal="center" vertical="center"/>
    </xf>
    <xf numFmtId="0" fontId="6" fillId="0" borderId="20" xfId="0" applyFont="1" applyBorder="1" applyAlignment="1">
      <alignment horizontal="center"/>
    </xf>
    <xf numFmtId="0" fontId="0" fillId="3" borderId="58" xfId="0" applyFill="1" applyBorder="1" applyAlignment="1">
      <alignment horizontal="center"/>
    </xf>
    <xf numFmtId="0" fontId="0" fillId="3" borderId="59" xfId="0" applyFill="1" applyBorder="1" applyAlignment="1">
      <alignment horizontal="center"/>
    </xf>
    <xf numFmtId="0" fontId="0" fillId="2" borderId="59" xfId="0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165" fontId="0" fillId="0" borderId="0" xfId="1" applyNumberFormat="1" applyFont="1" applyAlignment="1">
      <alignment vertical="center"/>
    </xf>
    <xf numFmtId="165" fontId="0" fillId="0" borderId="0" xfId="1" applyNumberFormat="1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165" fontId="0" fillId="0" borderId="12" xfId="1" applyNumberFormat="1" applyFont="1" applyBorder="1" applyAlignment="1">
      <alignment vertical="center"/>
    </xf>
    <xf numFmtId="165" fontId="0" fillId="0" borderId="13" xfId="1" applyNumberFormat="1" applyFont="1" applyBorder="1" applyAlignment="1">
      <alignment vertical="center"/>
    </xf>
    <xf numFmtId="165" fontId="0" fillId="0" borderId="14" xfId="1" applyNumberFormat="1" applyFont="1" applyBorder="1" applyAlignment="1">
      <alignment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7" fillId="0" borderId="0" xfId="0" applyFont="1" applyAlignment="1">
      <alignment horizontal="left"/>
    </xf>
    <xf numFmtId="2" fontId="0" fillId="0" borderId="0" xfId="0" applyNumberFormat="1"/>
    <xf numFmtId="10" fontId="0" fillId="15" borderId="1" xfId="0" applyNumberFormat="1" applyFill="1" applyBorder="1"/>
    <xf numFmtId="10" fontId="0" fillId="15" borderId="7" xfId="0" applyNumberFormat="1" applyFill="1" applyBorder="1"/>
    <xf numFmtId="0" fontId="0" fillId="5" borderId="18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6" fontId="0" fillId="11" borderId="17" xfId="0" applyNumberFormat="1" applyFill="1" applyBorder="1" applyAlignment="1">
      <alignment horizontal="center"/>
    </xf>
    <xf numFmtId="0" fontId="0" fillId="5" borderId="64" xfId="0" applyFill="1" applyBorder="1" applyAlignment="1">
      <alignment horizontal="right" vertical="center"/>
    </xf>
    <xf numFmtId="0" fontId="23" fillId="11" borderId="65" xfId="0" applyFont="1" applyFill="1" applyBorder="1" applyAlignment="1">
      <alignment horizontal="center" vertical="center"/>
    </xf>
    <xf numFmtId="9" fontId="23" fillId="11" borderId="19" xfId="0" applyNumberFormat="1" applyFont="1" applyFill="1" applyBorder="1" applyAlignment="1">
      <alignment horizontal="center" vertical="center"/>
    </xf>
    <xf numFmtId="0" fontId="0" fillId="7" borderId="0" xfId="0" applyFill="1"/>
    <xf numFmtId="0" fontId="0" fillId="16" borderId="0" xfId="0" applyFill="1"/>
    <xf numFmtId="0" fontId="11" fillId="10" borderId="0" xfId="0" applyFont="1" applyFill="1"/>
    <xf numFmtId="0" fontId="0" fillId="10" borderId="0" xfId="0" applyFill="1"/>
    <xf numFmtId="0" fontId="2" fillId="3" borderId="0" xfId="0" applyFont="1" applyFill="1"/>
    <xf numFmtId="0" fontId="0" fillId="3" borderId="0" xfId="0" applyFill="1"/>
    <xf numFmtId="0" fontId="17" fillId="3" borderId="0" xfId="0" applyFont="1" applyFill="1" applyAlignment="1">
      <alignment horizontal="left"/>
    </xf>
    <xf numFmtId="0" fontId="11" fillId="7" borderId="0" xfId="0" applyFont="1" applyFill="1"/>
    <xf numFmtId="0" fontId="2" fillId="2" borderId="0" xfId="0" applyFont="1" applyFill="1"/>
    <xf numFmtId="0" fontId="0" fillId="2" borderId="0" xfId="0" applyFill="1"/>
    <xf numFmtId="0" fontId="17" fillId="2" borderId="0" xfId="0" applyFont="1" applyFill="1" applyAlignment="1">
      <alignment horizontal="left"/>
    </xf>
    <xf numFmtId="0" fontId="0" fillId="7" borderId="0" xfId="0" applyFill="1" applyAlignment="1">
      <alignment horizontal="left" vertical="center"/>
    </xf>
    <xf numFmtId="0" fontId="22" fillId="17" borderId="0" xfId="2" applyFont="1" applyFill="1"/>
    <xf numFmtId="0" fontId="0" fillId="17" borderId="0" xfId="0" applyFill="1"/>
    <xf numFmtId="0" fontId="20" fillId="17" borderId="0" xfId="2" applyFont="1" applyFill="1"/>
    <xf numFmtId="0" fontId="20" fillId="11" borderId="0" xfId="2" applyFont="1" applyFill="1"/>
    <xf numFmtId="0" fontId="0" fillId="11" borderId="0" xfId="0" applyFill="1"/>
    <xf numFmtId="0" fontId="20" fillId="12" borderId="0" xfId="2" applyFont="1" applyFill="1"/>
    <xf numFmtId="0" fontId="0" fillId="12" borderId="0" xfId="0" applyFill="1"/>
    <xf numFmtId="0" fontId="11" fillId="4" borderId="0" xfId="0" applyFont="1" applyFill="1"/>
    <xf numFmtId="0" fontId="0" fillId="4" borderId="0" xfId="0" applyFill="1"/>
    <xf numFmtId="0" fontId="2" fillId="4" borderId="0" xfId="0" applyFont="1" applyFill="1"/>
    <xf numFmtId="0" fontId="24" fillId="4" borderId="0" xfId="2" applyFont="1" applyFill="1"/>
    <xf numFmtId="0" fontId="0" fillId="4" borderId="66" xfId="0" applyFill="1" applyBorder="1" applyAlignment="1">
      <alignment horizontal="center" vertical="center"/>
    </xf>
    <xf numFmtId="166" fontId="0" fillId="0" borderId="0" xfId="0" applyNumberFormat="1"/>
    <xf numFmtId="0" fontId="3" fillId="0" borderId="0" xfId="0" applyFont="1"/>
    <xf numFmtId="0" fontId="0" fillId="13" borderId="67" xfId="0" applyFill="1" applyBorder="1" applyAlignment="1">
      <alignment horizontal="right"/>
    </xf>
    <xf numFmtId="164" fontId="2" fillId="12" borderId="68" xfId="0" applyNumberFormat="1" applyFont="1" applyFill="1" applyBorder="1"/>
    <xf numFmtId="0" fontId="0" fillId="13" borderId="69" xfId="0" applyFill="1" applyBorder="1" applyAlignment="1">
      <alignment horizontal="right"/>
    </xf>
    <xf numFmtId="164" fontId="2" fillId="12" borderId="70" xfId="0" applyNumberFormat="1" applyFont="1" applyFill="1" applyBorder="1"/>
    <xf numFmtId="0" fontId="0" fillId="13" borderId="71" xfId="0" applyFill="1" applyBorder="1" applyAlignment="1">
      <alignment horizontal="right"/>
    </xf>
    <xf numFmtId="164" fontId="0" fillId="12" borderId="72" xfId="0" applyNumberFormat="1" applyFill="1" applyBorder="1"/>
    <xf numFmtId="0" fontId="0" fillId="13" borderId="73" xfId="0" applyFill="1" applyBorder="1" applyAlignment="1">
      <alignment horizontal="right"/>
    </xf>
    <xf numFmtId="166" fontId="0" fillId="12" borderId="74" xfId="0" applyNumberFormat="1" applyFill="1" applyBorder="1"/>
    <xf numFmtId="0" fontId="4" fillId="0" borderId="0" xfId="0" applyFont="1" applyAlignment="1">
      <alignment horizontal="center" vertical="center" wrapText="1"/>
    </xf>
    <xf numFmtId="166" fontId="0" fillId="0" borderId="0" xfId="0" quotePrefix="1" applyNumberFormat="1"/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20" fillId="7" borderId="61" xfId="0" applyFont="1" applyFill="1" applyBorder="1" applyAlignment="1">
      <alignment horizontal="center"/>
    </xf>
    <xf numFmtId="0" fontId="20" fillId="7" borderId="63" xfId="0" applyFont="1" applyFill="1" applyBorder="1" applyAlignment="1">
      <alignment horizontal="center"/>
    </xf>
    <xf numFmtId="0" fontId="20" fillId="10" borderId="61" xfId="0" applyFont="1" applyFill="1" applyBorder="1" applyAlignment="1">
      <alignment horizontal="center"/>
    </xf>
    <xf numFmtId="0" fontId="20" fillId="10" borderId="63" xfId="0" applyFont="1" applyFill="1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62" xfId="0" applyFill="1" applyBorder="1" applyAlignment="1">
      <alignment horizontal="center"/>
    </xf>
    <xf numFmtId="0" fontId="0" fillId="4" borderId="63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4" borderId="1" xfId="0" applyFill="1" applyBorder="1" applyAlignment="1">
      <alignment horizontal="left" wrapText="1"/>
    </xf>
    <xf numFmtId="0" fontId="0" fillId="14" borderId="7" xfId="0" applyFill="1" applyBorder="1" applyAlignment="1">
      <alignment horizontal="left"/>
    </xf>
    <xf numFmtId="0" fontId="0" fillId="14" borderId="7" xfId="0" applyFill="1" applyBorder="1" applyAlignment="1">
      <alignment horizontal="left" wrapText="1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30582436737393"/>
          <c:y val="0.16057024045588433"/>
          <c:w val="0.83701463605217286"/>
          <c:h val="0.655083841903625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'Resale Market Consolidated'!$J$5:$J$29</c:f>
              <c:strCache>
                <c:ptCount val="25"/>
                <c:pt idx="0">
                  <c:v>SENGKANG</c:v>
                </c:pt>
                <c:pt idx="1">
                  <c:v>SERANGOON</c:v>
                </c:pt>
                <c:pt idx="2">
                  <c:v>TAMPINES</c:v>
                </c:pt>
                <c:pt idx="3">
                  <c:v>TOA PAYOH</c:v>
                </c:pt>
                <c:pt idx="4">
                  <c:v>WOODLANDS</c:v>
                </c:pt>
                <c:pt idx="5">
                  <c:v>YISHUN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'Resale Market Consolidated'!$J$5:$J$29</c:f>
              <c:strCache>
                <c:ptCount val="6"/>
                <c:pt idx="0">
                  <c:v>SENGKANG</c:v>
                </c:pt>
                <c:pt idx="1">
                  <c:v>SERANGOON</c:v>
                </c:pt>
                <c:pt idx="2">
                  <c:v>TAMPINES</c:v>
                </c:pt>
                <c:pt idx="3">
                  <c:v>TOA PAYOH</c:v>
                </c:pt>
                <c:pt idx="4">
                  <c:v>WOODLANDS</c:v>
                </c:pt>
                <c:pt idx="5">
                  <c:v>YISHUN</c:v>
                </c:pt>
              </c:strCache>
            </c:strRef>
          </c:cat>
          <c:val>
            <c:numRef>
              <c:f>'Resale Market Consolidated'!$L$5:$L$29</c:f>
              <c:numCache>
                <c:formatCode>_("$"* #,##0_);_("$"* \(#,##0\);_("$"* "-"??_);_(@_)</c:formatCode>
                <c:ptCount val="25"/>
                <c:pt idx="0">
                  <c:v>487500</c:v>
                </c:pt>
                <c:pt idx="1">
                  <c:v>420000</c:v>
                </c:pt>
                <c:pt idx="2">
                  <c:v>474682.28571428574</c:v>
                </c:pt>
                <c:pt idx="3">
                  <c:v>372600</c:v>
                </c:pt>
                <c:pt idx="4">
                  <c:v>376200</c:v>
                </c:pt>
                <c:pt idx="5">
                  <c:v>390428.57142857142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A-C24C-85BB-355C6DE48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-43"/>
        <c:axId val="164488447"/>
        <c:axId val="1763672336"/>
      </c:barChart>
      <c:catAx>
        <c:axId val="16448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b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672336"/>
        <c:crosses val="autoZero"/>
        <c:auto val="0"/>
        <c:lblAlgn val="ctr"/>
        <c:lblOffset val="100"/>
        <c:noMultiLvlLbl val="0"/>
      </c:catAx>
      <c:valAx>
        <c:axId val="176367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488447"/>
        <c:crosses val="autoZero"/>
        <c:crossBetween val="between"/>
      </c:valAx>
      <c:spPr>
        <a:noFill/>
        <a:ln w="9525">
          <a:solidFill>
            <a:schemeClr val="accent1"/>
          </a:solidFill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47025371828521"/>
          <c:y val="4.1666666666666664E-2"/>
          <c:w val="0.80308530183727034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'Resale Market Consolidated'!$AH$5:$AH$9</c:f>
              <c:strCache>
                <c:ptCount val="5"/>
                <c:pt idx="0">
                  <c:v>2 ROOM</c:v>
                </c:pt>
                <c:pt idx="1">
                  <c:v>3 ROOM</c:v>
                </c:pt>
                <c:pt idx="2">
                  <c:v>4 ROOM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65-BD4E-9C12-5500B00F801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65-BD4E-9C12-5500B00F801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65-BD4E-9C12-5500B00F801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965-BD4E-9C12-5500B00F801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965-BD4E-9C12-5500B00F80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'Resale Market Consolidated'!$AH$5:$AH$9</c:f>
              <c:strCache>
                <c:ptCount val="3"/>
                <c:pt idx="0">
                  <c:v>2 ROOM</c:v>
                </c:pt>
                <c:pt idx="1">
                  <c:v>3 ROOM</c:v>
                </c:pt>
                <c:pt idx="2">
                  <c:v>4 ROOM</c:v>
                </c:pt>
              </c:strCache>
            </c:strRef>
          </c:cat>
          <c:val>
            <c:numRef>
              <c:f>'Resale Market Consolidated'!$AJ$5:$AJ$9</c:f>
              <c:numCache>
                <c:formatCode>_("$"* #,##0_);_("$"* \(#,##0\);_("$"* "-"??_);_(@_)</c:formatCode>
                <c:ptCount val="5"/>
                <c:pt idx="0">
                  <c:v>255000</c:v>
                </c:pt>
                <c:pt idx="1">
                  <c:v>605833.33333333337</c:v>
                </c:pt>
                <c:pt idx="2">
                  <c:v>853375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6-3841-9E9E-29DD39ED2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0160"/>
        <c:axId val="1850058144"/>
      </c:barChart>
      <c:catAx>
        <c:axId val="185001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058144"/>
        <c:crosses val="autoZero"/>
        <c:auto val="1"/>
        <c:lblAlgn val="ctr"/>
        <c:lblOffset val="100"/>
        <c:noMultiLvlLbl val="0"/>
      </c:catAx>
      <c:valAx>
        <c:axId val="18500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0101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39" fmlaLink="$C$15" max="30000" page="10" val="36"/>
</file>

<file path=xl/ctrlProps/ctrlProp3.xml><?xml version="1.0" encoding="utf-8"?>
<formControlPr xmlns="http://schemas.microsoft.com/office/spreadsheetml/2009/9/main" objectType="CheckBox" fmlaLink="$F$8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11" lockText="1"/>
</file>

<file path=xl/ctrlProps/ctrlProp6.xml><?xml version="1.0" encoding="utf-8"?>
<formControlPr xmlns="http://schemas.microsoft.com/office/spreadsheetml/2009/9/main" objectType="CheckBox" fmlaLink="$F$12" lockText="1"/>
</file>

<file path=xl/ctrlProps/ctrlProp7.xml><?xml version="1.0" encoding="utf-8"?>
<formControlPr xmlns="http://schemas.microsoft.com/office/spreadsheetml/2009/9/main" objectType="CheckBox" fmlaLink="$F$13" lockText="1"/>
</file>

<file path=xl/ctrlProps/ctrlProp8.xml><?xml version="1.0" encoding="utf-8"?>
<formControlPr xmlns="http://schemas.microsoft.com/office/spreadsheetml/2009/9/main" objectType="CheckBox" fmlaLink="$F$9" lockText="1"/>
</file>

<file path=xl/ctrlProps/ctrlProp9.xml><?xml version="1.0" encoding="utf-8"?>
<formControlPr xmlns="http://schemas.microsoft.com/office/spreadsheetml/2009/9/main" objectType="CheckBox" fmlaLink="$F$14" lockText="1"/>
</file>

<file path=xl/ctrlProps/ctrlProp10.xml><?xml version="1.0" encoding="utf-8"?>
<formControlPr xmlns="http://schemas.microsoft.com/office/spreadsheetml/2009/9/main" objectType="CheckBox" fmlaLink="$F$15" lockText="1"/>
</file>

<file path=xl/ctrlProps/ctrlProp11.xml><?xml version="1.0" encoding="utf-8"?>
<formControlPr xmlns="http://schemas.microsoft.com/office/spreadsheetml/2009/9/main" objectType="CheckBox" fmlaLink="$F$16" lockText="1"/>
</file>

<file path=xl/ctrlProps/ctrlProp12.xml><?xml version="1.0" encoding="utf-8"?>
<formControlPr xmlns="http://schemas.microsoft.com/office/spreadsheetml/2009/9/main" objectType="CheckBox" fmlaLink="$F$17" lockText="1"/>
</file>

<file path=xl/ctrlProps/ctrlProp13.xml><?xml version="1.0" encoding="utf-8"?>
<formControlPr xmlns="http://schemas.microsoft.com/office/spreadsheetml/2009/9/main" objectType="CheckBox" fmlaLink="$F$18" lockText="1"/>
</file>

<file path=xl/ctrlProps/ctrlProp14.xml><?xml version="1.0" encoding="utf-8"?>
<formControlPr xmlns="http://schemas.microsoft.com/office/spreadsheetml/2009/9/main" objectType="CheckBox" fmlaLink="$F$19" lockText="1"/>
</file>

<file path=xl/ctrlProps/ctrlProp15.xml><?xml version="1.0" encoding="utf-8"?>
<formControlPr xmlns="http://schemas.microsoft.com/office/spreadsheetml/2009/9/main" objectType="CheckBox" fmlaLink="$F$20" lockText="1"/>
</file>

<file path=xl/ctrlProps/ctrlProp16.xml><?xml version="1.0" encoding="utf-8"?>
<formControlPr xmlns="http://schemas.microsoft.com/office/spreadsheetml/2009/9/main" objectType="CheckBox" fmlaLink="$F$21" lockText="1"/>
</file>

<file path=xl/ctrlProps/ctrlProp17.xml><?xml version="1.0" encoding="utf-8"?>
<formControlPr xmlns="http://schemas.microsoft.com/office/spreadsheetml/2009/9/main" objectType="CheckBox" fmlaLink="$F$22" lockText="1"/>
</file>

<file path=xl/ctrlProps/ctrlProp18.xml><?xml version="1.0" encoding="utf-8"?>
<formControlPr xmlns="http://schemas.microsoft.com/office/spreadsheetml/2009/9/main" objectType="CheckBox" fmlaLink="$F$23" lockText="1"/>
</file>

<file path=xl/ctrlProps/ctrlProp19.xml><?xml version="1.0" encoding="utf-8"?>
<formControlPr xmlns="http://schemas.microsoft.com/office/spreadsheetml/2009/9/main" objectType="CheckBox" fmlaLink="$F$24" lockText="1"/>
</file>

<file path=xl/ctrlProps/ctrlProp20.xml><?xml version="1.0" encoding="utf-8"?>
<formControlPr xmlns="http://schemas.microsoft.com/office/spreadsheetml/2009/9/main" objectType="CheckBox" fmlaLink="$F$25" lockText="1"/>
</file>

<file path=xl/ctrlProps/ctrlProp21.xml><?xml version="1.0" encoding="utf-8"?>
<formControlPr xmlns="http://schemas.microsoft.com/office/spreadsheetml/2009/9/main" objectType="CheckBox" fmlaLink="$F$26" lockText="1"/>
</file>

<file path=xl/ctrlProps/ctrlProp22.xml><?xml version="1.0" encoding="utf-8"?>
<formControlPr xmlns="http://schemas.microsoft.com/office/spreadsheetml/2009/9/main" objectType="CheckBox" checked="Checked" fmlaLink="$F$27" lockText="1"/>
</file>

<file path=xl/ctrlProps/ctrlProp23.xml><?xml version="1.0" encoding="utf-8"?>
<formControlPr xmlns="http://schemas.microsoft.com/office/spreadsheetml/2009/9/main" objectType="CheckBox" checked="Checked" fmlaLink="$F$28" lockText="1"/>
</file>

<file path=xl/ctrlProps/ctrlProp24.xml><?xml version="1.0" encoding="utf-8"?>
<formControlPr xmlns="http://schemas.microsoft.com/office/spreadsheetml/2009/9/main" objectType="CheckBox" checked="Checked" fmlaLink="$F$29" lockText="1"/>
</file>

<file path=xl/ctrlProps/ctrlProp25.xml><?xml version="1.0" encoding="utf-8"?>
<formControlPr xmlns="http://schemas.microsoft.com/office/spreadsheetml/2009/9/main" objectType="CheckBox" checked="Checked" fmlaLink="$F$30" lockText="1"/>
</file>

<file path=xl/ctrlProps/ctrlProp26.xml><?xml version="1.0" encoding="utf-8"?>
<formControlPr xmlns="http://schemas.microsoft.com/office/spreadsheetml/2009/9/main" objectType="CheckBox" checked="Checked" fmlaLink="$F$31" lockText="1"/>
</file>

<file path=xl/ctrlProps/ctrlProp27.xml><?xml version="1.0" encoding="utf-8"?>
<formControlPr xmlns="http://schemas.microsoft.com/office/spreadsheetml/2009/9/main" objectType="CheckBox" checked="Checked" fmlaLink="$F$32" lockText="1"/>
</file>

<file path=xl/ctrlProps/ctrlProp28.xml><?xml version="1.0" encoding="utf-8"?>
<formControlPr xmlns="http://schemas.microsoft.com/office/spreadsheetml/2009/9/main" objectType="CheckBox" checked="Checked" fmlaLink="$AD$8" lockText="1"/>
</file>

<file path=xl/ctrlProps/ctrlProp29.xml><?xml version="1.0" encoding="utf-8"?>
<formControlPr xmlns="http://schemas.microsoft.com/office/spreadsheetml/2009/9/main" objectType="CheckBox" checked="Checked" fmlaLink="$AD$9" lockText="1"/>
</file>

<file path=xl/ctrlProps/ctrlProp30.xml><?xml version="1.0" encoding="utf-8"?>
<formControlPr xmlns="http://schemas.microsoft.com/office/spreadsheetml/2009/9/main" objectType="CheckBox" checked="Checked" fmlaLink="$AD$10" lockText="1"/>
</file>

<file path=xl/ctrlProps/ctrlProp31.xml><?xml version="1.0" encoding="utf-8"?>
<formControlPr xmlns="http://schemas.microsoft.com/office/spreadsheetml/2009/9/main" objectType="CheckBox" fmlaLink="$AD$11" lockText="1"/>
</file>

<file path=xl/ctrlProps/ctrlProp32.xml><?xml version="1.0" encoding="utf-8"?>
<formControlPr xmlns="http://schemas.microsoft.com/office/spreadsheetml/2009/9/main" objectType="CheckBox" fmlaLink="$AD$12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4</xdr:row>
          <xdr:rowOff>139700</xdr:rowOff>
        </xdr:from>
        <xdr:to>
          <xdr:col>5</xdr:col>
          <xdr:colOff>406400</xdr:colOff>
          <xdr:row>6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3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1304492</xdr:colOff>
      <xdr:row>2</xdr:row>
      <xdr:rowOff>191798</xdr:rowOff>
    </xdr:from>
    <xdr:to>
      <xdr:col>7</xdr:col>
      <xdr:colOff>416328</xdr:colOff>
      <xdr:row>11</xdr:row>
      <xdr:rowOff>132051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67167" y="591848"/>
          <a:ext cx="3798136" cy="23405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177800</xdr:rowOff>
        </xdr:from>
        <xdr:to>
          <xdr:col>7</xdr:col>
          <xdr:colOff>114300</xdr:colOff>
          <xdr:row>9</xdr:row>
          <xdr:rowOff>12700</xdr:rowOff>
        </xdr:to>
        <xdr:sp macro="" textlink="">
          <xdr:nvSpPr>
            <xdr:cNvPr id="11265" name="Check Box 1" descr="Ang Mo Kio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177800</xdr:rowOff>
        </xdr:from>
        <xdr:to>
          <xdr:col>7</xdr:col>
          <xdr:colOff>114300</xdr:colOff>
          <xdr:row>11</xdr:row>
          <xdr:rowOff>12700</xdr:rowOff>
        </xdr:to>
        <xdr:sp macro="" textlink="">
          <xdr:nvSpPr>
            <xdr:cNvPr id="11266" name="Check Box 2" descr="Ang Mo Kio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190500</xdr:rowOff>
        </xdr:from>
        <xdr:to>
          <xdr:col>7</xdr:col>
          <xdr:colOff>114300</xdr:colOff>
          <xdr:row>12</xdr:row>
          <xdr:rowOff>25400</xdr:rowOff>
        </xdr:to>
        <xdr:sp macro="" textlink="">
          <xdr:nvSpPr>
            <xdr:cNvPr id="11267" name="Check Box 3" descr="Ang Mo Kio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177800</xdr:rowOff>
        </xdr:from>
        <xdr:to>
          <xdr:col>7</xdr:col>
          <xdr:colOff>114300</xdr:colOff>
          <xdr:row>13</xdr:row>
          <xdr:rowOff>12700</xdr:rowOff>
        </xdr:to>
        <xdr:sp macro="" textlink="">
          <xdr:nvSpPr>
            <xdr:cNvPr id="11268" name="Check Box 4" descr="Ang Mo Ki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177800</xdr:rowOff>
        </xdr:from>
        <xdr:to>
          <xdr:col>7</xdr:col>
          <xdr:colOff>114300</xdr:colOff>
          <xdr:row>14</xdr:row>
          <xdr:rowOff>12700</xdr:rowOff>
        </xdr:to>
        <xdr:sp macro="" textlink="">
          <xdr:nvSpPr>
            <xdr:cNvPr id="11269" name="Check Box 5" descr="Ang Mo Kio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177800</xdr:rowOff>
        </xdr:from>
        <xdr:to>
          <xdr:col>7</xdr:col>
          <xdr:colOff>114300</xdr:colOff>
          <xdr:row>10</xdr:row>
          <xdr:rowOff>12700</xdr:rowOff>
        </xdr:to>
        <xdr:sp macro="" textlink="">
          <xdr:nvSpPr>
            <xdr:cNvPr id="11270" name="Check Box 6" descr="Ang Mo Kio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177800</xdr:rowOff>
        </xdr:from>
        <xdr:to>
          <xdr:col>7</xdr:col>
          <xdr:colOff>114300</xdr:colOff>
          <xdr:row>15</xdr:row>
          <xdr:rowOff>12700</xdr:rowOff>
        </xdr:to>
        <xdr:sp macro="" textlink="">
          <xdr:nvSpPr>
            <xdr:cNvPr id="11271" name="Check Box 7" descr="Ang Mo Ki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177800</xdr:rowOff>
        </xdr:from>
        <xdr:to>
          <xdr:col>7</xdr:col>
          <xdr:colOff>114300</xdr:colOff>
          <xdr:row>16</xdr:row>
          <xdr:rowOff>12700</xdr:rowOff>
        </xdr:to>
        <xdr:sp macro="" textlink="">
          <xdr:nvSpPr>
            <xdr:cNvPr id="11272" name="Check Box 8" descr="Ang Mo Kio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177800</xdr:rowOff>
        </xdr:from>
        <xdr:to>
          <xdr:col>7</xdr:col>
          <xdr:colOff>114300</xdr:colOff>
          <xdr:row>17</xdr:row>
          <xdr:rowOff>12700</xdr:rowOff>
        </xdr:to>
        <xdr:sp macro="" textlink="">
          <xdr:nvSpPr>
            <xdr:cNvPr id="11273" name="Check Box 9" descr="Ang Mo Kio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4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177800</xdr:rowOff>
        </xdr:from>
        <xdr:to>
          <xdr:col>7</xdr:col>
          <xdr:colOff>114300</xdr:colOff>
          <xdr:row>18</xdr:row>
          <xdr:rowOff>12700</xdr:rowOff>
        </xdr:to>
        <xdr:sp macro="" textlink="">
          <xdr:nvSpPr>
            <xdr:cNvPr id="11274" name="Check Box 10" descr="Ang Mo Kio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4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177800</xdr:rowOff>
        </xdr:from>
        <xdr:to>
          <xdr:col>7</xdr:col>
          <xdr:colOff>114300</xdr:colOff>
          <xdr:row>19</xdr:row>
          <xdr:rowOff>12700</xdr:rowOff>
        </xdr:to>
        <xdr:sp macro="" textlink="">
          <xdr:nvSpPr>
            <xdr:cNvPr id="11275" name="Check Box 11" descr="Ang Mo Kio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4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335746</xdr:colOff>
      <xdr:row>3</xdr:row>
      <xdr:rowOff>14599</xdr:rowOff>
    </xdr:from>
    <xdr:to>
      <xdr:col>25</xdr:col>
      <xdr:colOff>671493</xdr:colOff>
      <xdr:row>33</xdr:row>
      <xdr:rowOff>14599</xdr:rowOff>
    </xdr:to>
    <xdr:graphicFrame macro="">
      <xdr:nvGraphicFramePr>
        <xdr:cNvPr id="11402" name="Chart 1">
          <a:extLst>
            <a:ext uri="{FF2B5EF4-FFF2-40B4-BE49-F238E27FC236}">
              <a16:creationId xmlns:a16="http://schemas.microsoft.com/office/drawing/2014/main" id="{00000000-0008-0000-0400-00008A2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177800</xdr:rowOff>
        </xdr:from>
        <xdr:to>
          <xdr:col>7</xdr:col>
          <xdr:colOff>114300</xdr:colOff>
          <xdr:row>20</xdr:row>
          <xdr:rowOff>12700</xdr:rowOff>
        </xdr:to>
        <xdr:sp macro="" textlink="">
          <xdr:nvSpPr>
            <xdr:cNvPr id="11276" name="Check Box 12" descr="Ang Mo Kio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177800</xdr:rowOff>
        </xdr:from>
        <xdr:to>
          <xdr:col>7</xdr:col>
          <xdr:colOff>114300</xdr:colOff>
          <xdr:row>21</xdr:row>
          <xdr:rowOff>12700</xdr:rowOff>
        </xdr:to>
        <xdr:sp macro="" textlink="">
          <xdr:nvSpPr>
            <xdr:cNvPr id="11277" name="Check Box 13" descr="Ang Mo Kio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4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190500</xdr:rowOff>
        </xdr:from>
        <xdr:to>
          <xdr:col>7</xdr:col>
          <xdr:colOff>114300</xdr:colOff>
          <xdr:row>22</xdr:row>
          <xdr:rowOff>25400</xdr:rowOff>
        </xdr:to>
        <xdr:sp macro="" textlink="">
          <xdr:nvSpPr>
            <xdr:cNvPr id="11278" name="Check Box 14" descr="Ang Mo Kio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4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190500</xdr:rowOff>
        </xdr:from>
        <xdr:to>
          <xdr:col>7</xdr:col>
          <xdr:colOff>114300</xdr:colOff>
          <xdr:row>23</xdr:row>
          <xdr:rowOff>25400</xdr:rowOff>
        </xdr:to>
        <xdr:sp macro="" textlink="">
          <xdr:nvSpPr>
            <xdr:cNvPr id="11279" name="Check Box 15" descr="Ang Mo Kio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4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177800</xdr:rowOff>
        </xdr:from>
        <xdr:to>
          <xdr:col>7</xdr:col>
          <xdr:colOff>114300</xdr:colOff>
          <xdr:row>24</xdr:row>
          <xdr:rowOff>12700</xdr:rowOff>
        </xdr:to>
        <xdr:sp macro="" textlink="">
          <xdr:nvSpPr>
            <xdr:cNvPr id="11280" name="Check Box 16" descr="Ang Mo Kio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4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23</xdr:row>
          <xdr:rowOff>190500</xdr:rowOff>
        </xdr:from>
        <xdr:to>
          <xdr:col>7</xdr:col>
          <xdr:colOff>127000</xdr:colOff>
          <xdr:row>25</xdr:row>
          <xdr:rowOff>25400</xdr:rowOff>
        </xdr:to>
        <xdr:sp macro="" textlink="">
          <xdr:nvSpPr>
            <xdr:cNvPr id="11281" name="Check Box 17" descr="Ang Mo Kio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4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177800</xdr:rowOff>
        </xdr:from>
        <xdr:to>
          <xdr:col>7</xdr:col>
          <xdr:colOff>114300</xdr:colOff>
          <xdr:row>26</xdr:row>
          <xdr:rowOff>12700</xdr:rowOff>
        </xdr:to>
        <xdr:sp macro="" textlink="">
          <xdr:nvSpPr>
            <xdr:cNvPr id="11282" name="Check Box 18" descr="Ang Mo Kio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4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177800</xdr:rowOff>
        </xdr:from>
        <xdr:to>
          <xdr:col>7</xdr:col>
          <xdr:colOff>114300</xdr:colOff>
          <xdr:row>27</xdr:row>
          <xdr:rowOff>12700</xdr:rowOff>
        </xdr:to>
        <xdr:sp macro="" textlink="">
          <xdr:nvSpPr>
            <xdr:cNvPr id="11283" name="Check Box 19" descr="Ang Mo Kio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4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190500</xdr:rowOff>
        </xdr:from>
        <xdr:to>
          <xdr:col>7</xdr:col>
          <xdr:colOff>114300</xdr:colOff>
          <xdr:row>28</xdr:row>
          <xdr:rowOff>25400</xdr:rowOff>
        </xdr:to>
        <xdr:sp macro="" textlink="">
          <xdr:nvSpPr>
            <xdr:cNvPr id="11284" name="Check Box 20" descr="Ang Mo Kio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4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177800</xdr:rowOff>
        </xdr:from>
        <xdr:to>
          <xdr:col>7</xdr:col>
          <xdr:colOff>114300</xdr:colOff>
          <xdr:row>29</xdr:row>
          <xdr:rowOff>12700</xdr:rowOff>
        </xdr:to>
        <xdr:sp macro="" textlink="">
          <xdr:nvSpPr>
            <xdr:cNvPr id="11285" name="Check Box 21" descr="Ang Mo Kio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4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177800</xdr:rowOff>
        </xdr:from>
        <xdr:to>
          <xdr:col>7</xdr:col>
          <xdr:colOff>114300</xdr:colOff>
          <xdr:row>30</xdr:row>
          <xdr:rowOff>12700</xdr:rowOff>
        </xdr:to>
        <xdr:sp macro="" textlink="">
          <xdr:nvSpPr>
            <xdr:cNvPr id="11286" name="Check Box 22" descr="Ang Mo Kio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4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177800</xdr:rowOff>
        </xdr:from>
        <xdr:to>
          <xdr:col>7</xdr:col>
          <xdr:colOff>114300</xdr:colOff>
          <xdr:row>31</xdr:row>
          <xdr:rowOff>12700</xdr:rowOff>
        </xdr:to>
        <xdr:sp macro="" textlink="">
          <xdr:nvSpPr>
            <xdr:cNvPr id="11287" name="Check Box 23" descr="Ang Mo Kio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4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177800</xdr:rowOff>
        </xdr:from>
        <xdr:to>
          <xdr:col>7</xdr:col>
          <xdr:colOff>114300</xdr:colOff>
          <xdr:row>32</xdr:row>
          <xdr:rowOff>12700</xdr:rowOff>
        </xdr:to>
        <xdr:sp macro="" textlink="">
          <xdr:nvSpPr>
            <xdr:cNvPr id="11288" name="Check Box 24" descr="Ang Mo Kio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4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177800</xdr:rowOff>
        </xdr:from>
        <xdr:to>
          <xdr:col>7</xdr:col>
          <xdr:colOff>114300</xdr:colOff>
          <xdr:row>33</xdr:row>
          <xdr:rowOff>12700</xdr:rowOff>
        </xdr:to>
        <xdr:sp macro="" textlink="">
          <xdr:nvSpPr>
            <xdr:cNvPr id="11289" name="Check Box 25" descr="Ang Mo Kio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4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7</xdr:row>
          <xdr:rowOff>190500</xdr:rowOff>
        </xdr:from>
        <xdr:to>
          <xdr:col>31</xdr:col>
          <xdr:colOff>127000</xdr:colOff>
          <xdr:row>9</xdr:row>
          <xdr:rowOff>25400</xdr:rowOff>
        </xdr:to>
        <xdr:sp macro="" textlink="">
          <xdr:nvSpPr>
            <xdr:cNvPr id="11290" name="Check Box 26" descr="Ang Mo Kio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4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8</xdr:row>
          <xdr:rowOff>190500</xdr:rowOff>
        </xdr:from>
        <xdr:to>
          <xdr:col>31</xdr:col>
          <xdr:colOff>127000</xdr:colOff>
          <xdr:row>10</xdr:row>
          <xdr:rowOff>38100</xdr:rowOff>
        </xdr:to>
        <xdr:sp macro="" textlink="">
          <xdr:nvSpPr>
            <xdr:cNvPr id="11291" name="Check Box 27" descr="Ang Mo Kio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4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10</xdr:row>
          <xdr:rowOff>0</xdr:rowOff>
        </xdr:from>
        <xdr:to>
          <xdr:col>31</xdr:col>
          <xdr:colOff>127000</xdr:colOff>
          <xdr:row>11</xdr:row>
          <xdr:rowOff>38100</xdr:rowOff>
        </xdr:to>
        <xdr:sp macro="" textlink="">
          <xdr:nvSpPr>
            <xdr:cNvPr id="11292" name="Check Box 28" descr="Ang Mo Kio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4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11</xdr:row>
          <xdr:rowOff>0</xdr:rowOff>
        </xdr:from>
        <xdr:to>
          <xdr:col>31</xdr:col>
          <xdr:colOff>139700</xdr:colOff>
          <xdr:row>12</xdr:row>
          <xdr:rowOff>38100</xdr:rowOff>
        </xdr:to>
        <xdr:sp macro="" textlink="">
          <xdr:nvSpPr>
            <xdr:cNvPr id="11293" name="Check Box 29" descr="Ang Mo Kio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4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11</xdr:row>
          <xdr:rowOff>177800</xdr:rowOff>
        </xdr:from>
        <xdr:to>
          <xdr:col>31</xdr:col>
          <xdr:colOff>139700</xdr:colOff>
          <xdr:row>13</xdr:row>
          <xdr:rowOff>12700</xdr:rowOff>
        </xdr:to>
        <xdr:sp macro="" textlink="">
          <xdr:nvSpPr>
            <xdr:cNvPr id="11294" name="Check Box 30" descr="Ang Mo Kio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4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en-GB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ng Mo KioCheck Box 1</a:t>
              </a:r>
            </a:p>
          </xdr:txBody>
        </xdr:sp>
        <xdr:clientData/>
      </xdr:twoCellAnchor>
    </mc:Choice>
    <mc:Fallback/>
  </mc:AlternateContent>
  <xdr:twoCellAnchor>
    <xdr:from>
      <xdr:col>36</xdr:col>
      <xdr:colOff>538655</xdr:colOff>
      <xdr:row>3</xdr:row>
      <xdr:rowOff>66273</xdr:rowOff>
    </xdr:from>
    <xdr:to>
      <xdr:col>43</xdr:col>
      <xdr:colOff>773678</xdr:colOff>
      <xdr:row>23</xdr:row>
      <xdr:rowOff>87586</xdr:rowOff>
    </xdr:to>
    <xdr:graphicFrame macro="">
      <xdr:nvGraphicFramePr>
        <xdr:cNvPr id="11407" name="Chart 2">
          <a:extLst>
            <a:ext uri="{FF2B5EF4-FFF2-40B4-BE49-F238E27FC236}">
              <a16:creationId xmlns:a16="http://schemas.microsoft.com/office/drawing/2014/main" id="{00000000-0008-0000-0400-00008F2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Applications/Microsoft%20Excel.app/Contents/Resources/en_GB.lproj/Add-Ins%20(AppleSilicon)/Solver.xlam" TargetMode="External"/><Relationship Id="rId1" Type="http://schemas.microsoft.com/office/2006/relationships/xlExternalLinkPath/xlLibrary" Target="Solv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port"/>
      <sheetName val="Language"/>
    </sheetNames>
    <definedNames>
      <definedName name="Search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ctrlProp" Target="../ctrlProps/ctrlProp3.xml"/><Relationship Id="rId21" Type="http://schemas.openxmlformats.org/officeDocument/2006/relationships/ctrlProp" Target="../ctrlProps/ctrlProp21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FE9F3-55D1-244F-AFB9-13F9D2BA72C0}">
  <sheetPr codeName="Sheet1"/>
  <dimension ref="B2:N22"/>
  <sheetViews>
    <sheetView showGridLines="0" zoomScale="113" workbookViewId="0">
      <selection activeCell="J5" sqref="J5"/>
    </sheetView>
  </sheetViews>
  <sheetFormatPr baseColWidth="10" defaultColWidth="11" defaultRowHeight="16"/>
  <cols>
    <col min="1" max="2" width="5.83203125" customWidth="1"/>
  </cols>
  <sheetData>
    <row r="2" spans="2:14"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</row>
    <row r="3" spans="2:14" ht="21">
      <c r="B3" s="178"/>
      <c r="C3" s="177" t="s">
        <v>0</v>
      </c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</row>
    <row r="4" spans="2:14">
      <c r="B4" s="178"/>
      <c r="C4" s="179" t="s">
        <v>1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</row>
    <row r="5" spans="2:14">
      <c r="B5" s="178"/>
      <c r="C5" s="178" t="s">
        <v>2</v>
      </c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</row>
    <row r="6" spans="2:14">
      <c r="B6" s="178"/>
      <c r="C6" s="178"/>
      <c r="D6" s="178"/>
      <c r="E6" s="178"/>
      <c r="F6" s="178"/>
      <c r="G6" s="178"/>
      <c r="H6" s="178"/>
      <c r="I6" s="178"/>
      <c r="J6" s="178"/>
      <c r="K6" s="178"/>
      <c r="L6" s="178"/>
      <c r="M6" s="178"/>
      <c r="N6" s="178"/>
    </row>
    <row r="7" spans="2:14" ht="19">
      <c r="B7" s="178"/>
      <c r="C7" s="170" t="s">
        <v>3</v>
      </c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8"/>
    </row>
    <row r="8" spans="2:14">
      <c r="B8" s="178"/>
      <c r="C8" s="178" t="s">
        <v>4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</row>
    <row r="9" spans="2:14">
      <c r="B9" s="178"/>
      <c r="C9" s="178" t="s">
        <v>5</v>
      </c>
      <c r="D9" s="178"/>
      <c r="E9" s="178"/>
      <c r="F9" s="178"/>
      <c r="G9" s="178"/>
      <c r="H9" s="178"/>
      <c r="I9" s="178"/>
      <c r="J9" s="178"/>
      <c r="K9" s="178"/>
      <c r="L9" s="178"/>
      <c r="M9" s="178"/>
      <c r="N9" s="178"/>
    </row>
    <row r="10" spans="2:14">
      <c r="B10" s="178"/>
      <c r="C10" s="178"/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8"/>
    </row>
    <row r="11" spans="2:14" ht="19">
      <c r="B11" s="178"/>
      <c r="C11" s="172" t="s">
        <v>6</v>
      </c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8"/>
    </row>
    <row r="12" spans="2:14">
      <c r="B12" s="178"/>
      <c r="C12" s="180" t="s">
        <v>794</v>
      </c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</row>
    <row r="13" spans="2:14"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</row>
    <row r="14" spans="2:14" ht="19">
      <c r="B14" s="178"/>
      <c r="C14" s="173" t="s">
        <v>7</v>
      </c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8"/>
    </row>
    <row r="15" spans="2:14">
      <c r="B15" s="178"/>
      <c r="C15" s="178" t="s">
        <v>790</v>
      </c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</row>
    <row r="16" spans="2:14">
      <c r="B16" s="178"/>
      <c r="C16" s="178"/>
      <c r="D16" s="178"/>
      <c r="E16" s="178"/>
      <c r="F16" s="178"/>
      <c r="G16" s="178"/>
      <c r="H16" s="178"/>
      <c r="I16" s="178"/>
      <c r="J16" s="178"/>
      <c r="K16" s="178"/>
      <c r="L16" s="178"/>
      <c r="M16" s="178"/>
      <c r="N16" s="178"/>
    </row>
    <row r="17" spans="2:14" ht="19">
      <c r="B17" s="178"/>
      <c r="C17" s="175" t="s">
        <v>791</v>
      </c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8"/>
    </row>
    <row r="18" spans="2:14">
      <c r="B18" s="178"/>
      <c r="C18" s="178" t="s">
        <v>795</v>
      </c>
      <c r="D18" s="178"/>
      <c r="E18" s="178"/>
      <c r="F18" s="178"/>
      <c r="G18" s="178"/>
      <c r="H18" s="178"/>
      <c r="I18" s="178"/>
      <c r="J18" s="178"/>
      <c r="K18" s="178"/>
      <c r="L18" s="178"/>
      <c r="M18" s="178"/>
      <c r="N18" s="178"/>
    </row>
    <row r="19" spans="2:14">
      <c r="B19" s="178"/>
      <c r="C19" s="178"/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78"/>
    </row>
    <row r="20" spans="2:14" ht="19">
      <c r="B20" s="178"/>
      <c r="C20" s="175" t="s">
        <v>792</v>
      </c>
      <c r="D20" s="176"/>
      <c r="E20" s="176"/>
      <c r="F20" s="176"/>
      <c r="G20" s="176"/>
      <c r="H20" s="176"/>
      <c r="I20" s="176"/>
      <c r="J20" s="176"/>
      <c r="K20" s="176"/>
      <c r="L20" s="176"/>
      <c r="M20" s="176"/>
      <c r="N20" s="178"/>
    </row>
    <row r="21" spans="2:14">
      <c r="B21" s="178"/>
      <c r="C21" s="178" t="s">
        <v>793</v>
      </c>
      <c r="D21" s="178"/>
      <c r="E21" s="178"/>
      <c r="F21" s="178"/>
      <c r="G21" s="178"/>
      <c r="H21" s="178"/>
      <c r="I21" s="178"/>
      <c r="J21" s="178"/>
      <c r="K21" s="178"/>
      <c r="L21" s="178"/>
      <c r="M21" s="178"/>
      <c r="N21" s="178"/>
    </row>
    <row r="22" spans="2:14">
      <c r="B22" s="178"/>
      <c r="C22" s="178"/>
      <c r="D22" s="178"/>
      <c r="E22" s="178"/>
      <c r="F22" s="178"/>
      <c r="G22" s="178"/>
      <c r="H22" s="178"/>
      <c r="I22" s="178"/>
      <c r="J22" s="178"/>
      <c r="K22" s="178"/>
      <c r="L22" s="178"/>
      <c r="M22" s="178"/>
      <c r="N22" s="178"/>
    </row>
  </sheetData>
  <hyperlinks>
    <hyperlink ref="C7" location="Filter!A1" display="1. Filter Tab" xr:uid="{BAF94E15-F9E9-704C-B3B5-A2D69DCB582D}"/>
    <hyperlink ref="C11" location="'Repayment of Loans'!A1" display="2. Repayment of Loans" xr:uid="{2DE7AEBD-00E5-6946-8F7D-08907B8E618C}"/>
    <hyperlink ref="C14" location="' BTO Market'!A1" display="3. BTO Market Flats" xr:uid="{E7B2E1E6-E31C-A64E-8B3C-F8847FE036BA}"/>
    <hyperlink ref="C17" location="'Resale Market Consolidated'!A1" display="4. Resale Market Consolidated" xr:uid="{142B110E-1B2D-254F-A2A7-FD0A71EC845E}"/>
    <hyperlink ref="C20" location="'Resale Market'!A1" display="5. Resale Market Flats" xr:uid="{FAA03DB7-52C3-1A44-9372-A0F0D7D0B16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EB0BF-9D71-C348-8B2E-9C9A2DD8494D}">
  <sheetPr codeName="Sheet2"/>
  <dimension ref="B2:N50"/>
  <sheetViews>
    <sheetView showGridLines="0" zoomScale="75" zoomScaleNormal="136" workbookViewId="0">
      <selection activeCell="G38" sqref="G38"/>
    </sheetView>
  </sheetViews>
  <sheetFormatPr baseColWidth="10" defaultColWidth="8.83203125" defaultRowHeight="16"/>
  <cols>
    <col min="1" max="1" width="5.83203125" customWidth="1"/>
    <col min="2" max="2" width="25.83203125" customWidth="1"/>
    <col min="3" max="3" width="15.83203125" customWidth="1"/>
    <col min="4" max="4" width="19.6640625" customWidth="1"/>
    <col min="5" max="5" width="15.83203125" customWidth="1"/>
    <col min="6" max="7" width="22.83203125" customWidth="1"/>
    <col min="8" max="14" width="15.83203125" customWidth="1"/>
  </cols>
  <sheetData>
    <row r="2" spans="2:14" ht="26">
      <c r="B2" s="74" t="s">
        <v>8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</row>
    <row r="4" spans="2:14" ht="22" thickBot="1">
      <c r="B4" s="56" t="s">
        <v>9</v>
      </c>
    </row>
    <row r="5" spans="2:14" ht="18" customHeight="1">
      <c r="B5" s="77" t="s">
        <v>10</v>
      </c>
      <c r="C5" s="78" t="s">
        <v>11</v>
      </c>
      <c r="D5" s="79" t="s">
        <v>12</v>
      </c>
    </row>
    <row r="6" spans="2:14" ht="22" thickBot="1">
      <c r="B6" s="80" t="s">
        <v>425</v>
      </c>
      <c r="C6" s="81" t="s">
        <v>71</v>
      </c>
      <c r="D6" s="82" t="s">
        <v>798</v>
      </c>
    </row>
    <row r="7" spans="2:14">
      <c r="B7" s="76" t="s">
        <v>15</v>
      </c>
      <c r="C7" s="76" t="s">
        <v>15</v>
      </c>
      <c r="D7" s="76" t="s">
        <v>16</v>
      </c>
    </row>
    <row r="8" spans="2:14" ht="17" thickBot="1"/>
    <row r="9" spans="2:14" ht="25" thickBot="1">
      <c r="B9" s="73" t="s">
        <v>17</v>
      </c>
      <c r="J9" s="194" t="s">
        <v>18</v>
      </c>
      <c r="K9" s="195"/>
      <c r="L9" s="195"/>
      <c r="M9" s="195"/>
      <c r="N9" s="196"/>
    </row>
    <row r="10" spans="2:14" ht="43">
      <c r="B10" s="83" t="s">
        <v>19</v>
      </c>
      <c r="C10" s="84" t="s">
        <v>10</v>
      </c>
      <c r="D10" s="85" t="s">
        <v>11</v>
      </c>
      <c r="E10" s="86" t="s">
        <v>12</v>
      </c>
      <c r="F10" s="87" t="s">
        <v>20</v>
      </c>
      <c r="G10" s="88" t="s">
        <v>21</v>
      </c>
      <c r="H10" s="89" t="s">
        <v>22</v>
      </c>
      <c r="I10" s="90" t="s">
        <v>23</v>
      </c>
      <c r="J10" s="91" t="s">
        <v>24</v>
      </c>
      <c r="K10" s="92" t="s">
        <v>25</v>
      </c>
      <c r="L10" s="93" t="s">
        <v>26</v>
      </c>
      <c r="M10" s="92" t="s">
        <v>27</v>
      </c>
      <c r="N10" s="94" t="s">
        <v>28</v>
      </c>
    </row>
    <row r="11" spans="2:14">
      <c r="B11" s="95"/>
      <c r="C11" s="65"/>
      <c r="D11" s="60"/>
      <c r="E11" s="67"/>
      <c r="F11" s="62"/>
      <c r="G11" s="65"/>
      <c r="H11" s="61"/>
      <c r="I11" s="71"/>
      <c r="J11" s="59"/>
      <c r="K11" s="69"/>
      <c r="L11" s="60"/>
      <c r="M11" s="69"/>
      <c r="N11" s="96"/>
    </row>
    <row r="12" spans="2:14">
      <c r="B12" s="97"/>
      <c r="C12" s="66"/>
      <c r="D12" s="20"/>
      <c r="E12" s="68"/>
      <c r="F12" s="52"/>
      <c r="G12" s="66"/>
      <c r="H12" s="64"/>
      <c r="I12" s="72"/>
      <c r="J12" s="63"/>
      <c r="K12" s="70"/>
      <c r="L12" s="20"/>
      <c r="M12" s="70"/>
      <c r="N12" s="98"/>
    </row>
    <row r="13" spans="2:14">
      <c r="B13" s="97"/>
      <c r="C13" s="66"/>
      <c r="D13" s="20"/>
      <c r="E13" s="68"/>
      <c r="F13" s="52"/>
      <c r="G13" s="66"/>
      <c r="H13" s="64"/>
      <c r="I13" s="72"/>
      <c r="J13" s="63"/>
      <c r="K13" s="70"/>
      <c r="L13" s="20"/>
      <c r="M13" s="70"/>
      <c r="N13" s="98"/>
    </row>
    <row r="14" spans="2:14">
      <c r="B14" s="97"/>
      <c r="C14" s="66"/>
      <c r="D14" s="20"/>
      <c r="E14" s="68"/>
      <c r="F14" s="52"/>
      <c r="G14" s="66"/>
      <c r="H14" s="64"/>
      <c r="I14" s="72"/>
      <c r="J14" s="63"/>
      <c r="K14" s="70"/>
      <c r="L14" s="20"/>
      <c r="M14" s="70"/>
      <c r="N14" s="98"/>
    </row>
    <row r="15" spans="2:14">
      <c r="B15" s="97"/>
      <c r="C15" s="66"/>
      <c r="D15" s="20"/>
      <c r="E15" s="68"/>
      <c r="F15" s="52"/>
      <c r="G15" s="66"/>
      <c r="H15" s="64"/>
      <c r="I15" s="72"/>
      <c r="J15" s="63"/>
      <c r="K15" s="70"/>
      <c r="L15" s="20"/>
      <c r="M15" s="70"/>
      <c r="N15" s="98"/>
    </row>
    <row r="16" spans="2:14">
      <c r="B16" s="97"/>
      <c r="C16" s="66"/>
      <c r="D16" s="20"/>
      <c r="E16" s="68"/>
      <c r="F16" s="52"/>
      <c r="G16" s="66"/>
      <c r="H16" s="64"/>
      <c r="I16" s="72"/>
      <c r="J16" s="63"/>
      <c r="K16" s="70"/>
      <c r="L16" s="20"/>
      <c r="M16" s="70"/>
      <c r="N16" s="98"/>
    </row>
    <row r="17" spans="2:14">
      <c r="B17" s="97"/>
      <c r="C17" s="66"/>
      <c r="D17" s="20"/>
      <c r="E17" s="68"/>
      <c r="F17" s="52"/>
      <c r="G17" s="66"/>
      <c r="H17" s="64"/>
      <c r="I17" s="72"/>
      <c r="J17" s="63"/>
      <c r="K17" s="70"/>
      <c r="L17" s="20"/>
      <c r="M17" s="70"/>
      <c r="N17" s="98"/>
    </row>
    <row r="18" spans="2:14">
      <c r="B18" s="97"/>
      <c r="C18" s="66"/>
      <c r="D18" s="20"/>
      <c r="E18" s="68"/>
      <c r="F18" s="52"/>
      <c r="G18" s="66"/>
      <c r="H18" s="64"/>
      <c r="I18" s="72"/>
      <c r="J18" s="63"/>
      <c r="K18" s="70"/>
      <c r="L18" s="20"/>
      <c r="M18" s="70"/>
      <c r="N18" s="98"/>
    </row>
    <row r="19" spans="2:14">
      <c r="B19" s="97"/>
      <c r="C19" s="66"/>
      <c r="D19" s="20"/>
      <c r="E19" s="68"/>
      <c r="F19" s="52"/>
      <c r="G19" s="66"/>
      <c r="H19" s="64"/>
      <c r="I19" s="72"/>
      <c r="J19" s="63"/>
      <c r="K19" s="70"/>
      <c r="L19" s="20"/>
      <c r="M19" s="70"/>
      <c r="N19" s="98"/>
    </row>
    <row r="20" spans="2:14">
      <c r="B20" s="97"/>
      <c r="C20" s="66"/>
      <c r="D20" s="20"/>
      <c r="E20" s="68"/>
      <c r="F20" s="52"/>
      <c r="G20" s="66"/>
      <c r="H20" s="64"/>
      <c r="I20" s="72"/>
      <c r="J20" s="63"/>
      <c r="K20" s="70"/>
      <c r="L20" s="20"/>
      <c r="M20" s="70"/>
      <c r="N20" s="98"/>
    </row>
    <row r="21" spans="2:14">
      <c r="B21" s="97"/>
      <c r="C21" s="66"/>
      <c r="D21" s="20"/>
      <c r="E21" s="68"/>
      <c r="F21" s="52"/>
      <c r="G21" s="66"/>
      <c r="H21" s="64"/>
      <c r="I21" s="72"/>
      <c r="J21" s="63"/>
      <c r="K21" s="70"/>
      <c r="L21" s="20"/>
      <c r="M21" s="70"/>
      <c r="N21" s="98"/>
    </row>
    <row r="22" spans="2:14">
      <c r="B22" s="97"/>
      <c r="C22" s="66"/>
      <c r="D22" s="20"/>
      <c r="E22" s="68"/>
      <c r="F22" s="52"/>
      <c r="G22" s="66"/>
      <c r="H22" s="64"/>
      <c r="I22" s="72"/>
      <c r="J22" s="63"/>
      <c r="K22" s="70"/>
      <c r="L22" s="20"/>
      <c r="M22" s="70"/>
      <c r="N22" s="98"/>
    </row>
    <row r="23" spans="2:14">
      <c r="B23" s="97"/>
      <c r="C23" s="66"/>
      <c r="D23" s="20"/>
      <c r="E23" s="68"/>
      <c r="F23" s="52"/>
      <c r="G23" s="66"/>
      <c r="H23" s="64"/>
      <c r="I23" s="72"/>
      <c r="J23" s="63"/>
      <c r="K23" s="70"/>
      <c r="L23" s="20"/>
      <c r="M23" s="70"/>
      <c r="N23" s="98"/>
    </row>
    <row r="24" spans="2:14">
      <c r="B24" s="97"/>
      <c r="C24" s="66"/>
      <c r="D24" s="20"/>
      <c r="E24" s="68"/>
      <c r="F24" s="52"/>
      <c r="G24" s="66"/>
      <c r="H24" s="64"/>
      <c r="I24" s="72"/>
      <c r="J24" s="63"/>
      <c r="K24" s="70"/>
      <c r="L24" s="20"/>
      <c r="M24" s="70"/>
      <c r="N24" s="98"/>
    </row>
    <row r="25" spans="2:14">
      <c r="B25" s="97"/>
      <c r="C25" s="66"/>
      <c r="D25" s="20"/>
      <c r="E25" s="68"/>
      <c r="F25" s="52"/>
      <c r="G25" s="66"/>
      <c r="H25" s="64"/>
      <c r="I25" s="72"/>
      <c r="J25" s="63"/>
      <c r="K25" s="70"/>
      <c r="L25" s="20"/>
      <c r="M25" s="70"/>
      <c r="N25" s="98"/>
    </row>
    <row r="26" spans="2:14">
      <c r="B26" s="97"/>
      <c r="C26" s="66"/>
      <c r="D26" s="20"/>
      <c r="E26" s="68"/>
      <c r="F26" s="52"/>
      <c r="G26" s="66"/>
      <c r="H26" s="64"/>
      <c r="I26" s="72"/>
      <c r="J26" s="63"/>
      <c r="K26" s="70"/>
      <c r="L26" s="20"/>
      <c r="M26" s="70"/>
      <c r="N26" s="98"/>
    </row>
    <row r="27" spans="2:14">
      <c r="B27" s="97"/>
      <c r="C27" s="66"/>
      <c r="D27" s="20"/>
      <c r="E27" s="68"/>
      <c r="F27" s="52"/>
      <c r="G27" s="66"/>
      <c r="H27" s="64"/>
      <c r="I27" s="72"/>
      <c r="J27" s="63"/>
      <c r="K27" s="70"/>
      <c r="L27" s="20"/>
      <c r="M27" s="70"/>
      <c r="N27" s="98"/>
    </row>
    <row r="28" spans="2:14" ht="17" thickBot="1">
      <c r="B28" s="99"/>
      <c r="C28" s="100"/>
      <c r="D28" s="101"/>
      <c r="E28" s="102"/>
      <c r="F28" s="103"/>
      <c r="G28" s="100"/>
      <c r="H28" s="104"/>
      <c r="I28" s="105"/>
      <c r="J28" s="106"/>
      <c r="K28" s="107"/>
      <c r="L28" s="101"/>
      <c r="M28" s="107"/>
      <c r="N28" s="108"/>
    </row>
    <row r="29" spans="2:14">
      <c r="B29" s="20"/>
      <c r="C29" s="20"/>
      <c r="D29" s="20"/>
      <c r="E29" s="53"/>
      <c r="F29" s="52"/>
      <c r="G29" s="20"/>
      <c r="H29" s="53"/>
      <c r="I29" s="53"/>
      <c r="J29" s="20"/>
      <c r="K29" s="20"/>
      <c r="L29" s="20"/>
      <c r="M29" s="20"/>
      <c r="N29" s="20"/>
    </row>
    <row r="30" spans="2:14" ht="17" thickBot="1"/>
    <row r="31" spans="2:14" ht="25" thickBot="1">
      <c r="B31" s="73" t="s">
        <v>36</v>
      </c>
      <c r="H31" s="194" t="s">
        <v>18</v>
      </c>
      <c r="I31" s="195"/>
      <c r="J31" s="195"/>
      <c r="K31" s="195"/>
      <c r="L31" s="196"/>
    </row>
    <row r="32" spans="2:14" ht="34">
      <c r="B32" s="109" t="s">
        <v>37</v>
      </c>
      <c r="C32" s="110" t="s">
        <v>10</v>
      </c>
      <c r="D32" s="111" t="s">
        <v>11</v>
      </c>
      <c r="E32" s="112" t="s">
        <v>12</v>
      </c>
      <c r="F32" s="113" t="s">
        <v>38</v>
      </c>
      <c r="G32" s="114" t="s">
        <v>39</v>
      </c>
      <c r="H32" s="91" t="s">
        <v>24</v>
      </c>
      <c r="I32" s="92" t="s">
        <v>25</v>
      </c>
      <c r="J32" s="93" t="s">
        <v>26</v>
      </c>
      <c r="K32" s="92" t="s">
        <v>27</v>
      </c>
      <c r="L32" s="94" t="s">
        <v>28</v>
      </c>
      <c r="M32" s="9"/>
      <c r="N32" s="9"/>
    </row>
    <row r="33" spans="2:12">
      <c r="B33" s="97" t="s">
        <v>440</v>
      </c>
      <c r="C33" s="66" t="s">
        <v>425</v>
      </c>
      <c r="D33" s="20" t="s">
        <v>71</v>
      </c>
      <c r="E33" s="68">
        <v>570000</v>
      </c>
      <c r="F33" s="20">
        <v>2019</v>
      </c>
      <c r="G33" s="66" t="s">
        <v>241</v>
      </c>
      <c r="H33" s="59" t="s">
        <v>34</v>
      </c>
      <c r="I33" s="69" t="s">
        <v>34</v>
      </c>
      <c r="J33" s="60" t="s">
        <v>35</v>
      </c>
      <c r="K33" s="69" t="s">
        <v>34</v>
      </c>
      <c r="L33" s="96" t="s">
        <v>35</v>
      </c>
    </row>
    <row r="34" spans="2:12">
      <c r="B34" s="97" t="s">
        <v>440</v>
      </c>
      <c r="C34" s="66" t="s">
        <v>425</v>
      </c>
      <c r="D34" s="20" t="s">
        <v>71</v>
      </c>
      <c r="E34" s="68">
        <v>600000</v>
      </c>
      <c r="F34" s="20">
        <v>2019</v>
      </c>
      <c r="G34" s="66" t="s">
        <v>241</v>
      </c>
      <c r="H34" s="63" t="s">
        <v>35</v>
      </c>
      <c r="I34" s="70" t="s">
        <v>34</v>
      </c>
      <c r="J34" s="20" t="s">
        <v>34</v>
      </c>
      <c r="K34" s="70" t="s">
        <v>34</v>
      </c>
      <c r="L34" s="98" t="s">
        <v>35</v>
      </c>
    </row>
    <row r="35" spans="2:12">
      <c r="B35" s="97" t="s">
        <v>441</v>
      </c>
      <c r="C35" s="66" t="s">
        <v>425</v>
      </c>
      <c r="D35" s="20" t="s">
        <v>71</v>
      </c>
      <c r="E35" s="68">
        <v>556000</v>
      </c>
      <c r="F35" s="20">
        <v>2000</v>
      </c>
      <c r="G35" s="66" t="s">
        <v>442</v>
      </c>
      <c r="H35" s="63" t="s">
        <v>34</v>
      </c>
      <c r="I35" s="70" t="s">
        <v>35</v>
      </c>
      <c r="J35" s="20" t="s">
        <v>34</v>
      </c>
      <c r="K35" s="70" t="s">
        <v>34</v>
      </c>
      <c r="L35" s="98" t="s">
        <v>35</v>
      </c>
    </row>
    <row r="36" spans="2:12">
      <c r="B36" s="97" t="s">
        <v>443</v>
      </c>
      <c r="C36" s="66" t="s">
        <v>425</v>
      </c>
      <c r="D36" s="20" t="s">
        <v>71</v>
      </c>
      <c r="E36" s="68">
        <v>460000</v>
      </c>
      <c r="F36" s="20">
        <v>1985</v>
      </c>
      <c r="G36" s="66" t="s">
        <v>444</v>
      </c>
      <c r="H36" s="63" t="s">
        <v>34</v>
      </c>
      <c r="I36" s="70" t="s">
        <v>35</v>
      </c>
      <c r="J36" s="20" t="s">
        <v>34</v>
      </c>
      <c r="K36" s="70" t="s">
        <v>34</v>
      </c>
      <c r="L36" s="98" t="s">
        <v>34</v>
      </c>
    </row>
    <row r="37" spans="2:12">
      <c r="B37" s="97" t="s">
        <v>437</v>
      </c>
      <c r="C37" s="66" t="s">
        <v>425</v>
      </c>
      <c r="D37" s="20" t="s">
        <v>71</v>
      </c>
      <c r="E37" s="68">
        <v>545000</v>
      </c>
      <c r="F37" s="20">
        <v>1984</v>
      </c>
      <c r="G37" s="66" t="s">
        <v>445</v>
      </c>
      <c r="H37" s="63" t="s">
        <v>34</v>
      </c>
      <c r="I37" s="70" t="s">
        <v>35</v>
      </c>
      <c r="J37" s="20" t="s">
        <v>34</v>
      </c>
      <c r="K37" s="70" t="s">
        <v>34</v>
      </c>
      <c r="L37" s="98" t="s">
        <v>34</v>
      </c>
    </row>
    <row r="38" spans="2:12">
      <c r="B38" s="97" t="s">
        <v>448</v>
      </c>
      <c r="C38" s="66" t="s">
        <v>425</v>
      </c>
      <c r="D38" s="20" t="s">
        <v>71</v>
      </c>
      <c r="E38" s="68">
        <v>478888</v>
      </c>
      <c r="F38" s="20">
        <v>2001</v>
      </c>
      <c r="G38" s="66" t="s">
        <v>449</v>
      </c>
      <c r="H38" s="63" t="s">
        <v>34</v>
      </c>
      <c r="I38" s="70" t="s">
        <v>34</v>
      </c>
      <c r="J38" s="20" t="s">
        <v>35</v>
      </c>
      <c r="K38" s="70" t="s">
        <v>34</v>
      </c>
      <c r="L38" s="98" t="s">
        <v>35</v>
      </c>
    </row>
    <row r="39" spans="2:12">
      <c r="B39" s="97" t="s">
        <v>450</v>
      </c>
      <c r="C39" s="66" t="s">
        <v>425</v>
      </c>
      <c r="D39" s="20" t="s">
        <v>71</v>
      </c>
      <c r="E39" s="68">
        <v>505000</v>
      </c>
      <c r="F39" s="20">
        <v>2000</v>
      </c>
      <c r="G39" s="66" t="s">
        <v>447</v>
      </c>
      <c r="H39" s="63" t="s">
        <v>34</v>
      </c>
      <c r="I39" s="70" t="s">
        <v>34</v>
      </c>
      <c r="J39" s="20" t="s">
        <v>35</v>
      </c>
      <c r="K39" s="70" t="s">
        <v>34</v>
      </c>
      <c r="L39" s="98" t="s">
        <v>34</v>
      </c>
    </row>
    <row r="40" spans="2:12">
      <c r="B40" s="97" t="s">
        <v>451</v>
      </c>
      <c r="C40" s="66" t="s">
        <v>425</v>
      </c>
      <c r="D40" s="20" t="s">
        <v>71</v>
      </c>
      <c r="E40" s="68">
        <v>470000</v>
      </c>
      <c r="F40" s="20">
        <v>1990</v>
      </c>
      <c r="G40" s="66" t="s">
        <v>452</v>
      </c>
      <c r="H40" s="63" t="s">
        <v>34</v>
      </c>
      <c r="I40" s="70" t="s">
        <v>35</v>
      </c>
      <c r="J40" s="20" t="s">
        <v>34</v>
      </c>
      <c r="K40" s="70" t="s">
        <v>34</v>
      </c>
      <c r="L40" s="98" t="s">
        <v>34</v>
      </c>
    </row>
    <row r="41" spans="2:12">
      <c r="B41" s="97" t="s">
        <v>453</v>
      </c>
      <c r="C41" s="66" t="s">
        <v>425</v>
      </c>
      <c r="D41" s="20" t="s">
        <v>71</v>
      </c>
      <c r="E41" s="68">
        <v>425000</v>
      </c>
      <c r="F41" s="20">
        <v>1988</v>
      </c>
      <c r="G41" s="66" t="s">
        <v>454</v>
      </c>
      <c r="H41" s="63" t="s">
        <v>34</v>
      </c>
      <c r="I41" s="70" t="s">
        <v>34</v>
      </c>
      <c r="J41" s="20" t="s">
        <v>34</v>
      </c>
      <c r="K41" s="70" t="s">
        <v>34</v>
      </c>
      <c r="L41" s="98" t="s">
        <v>34</v>
      </c>
    </row>
    <row r="42" spans="2:12">
      <c r="B42" s="97" t="s">
        <v>455</v>
      </c>
      <c r="C42" s="66" t="s">
        <v>425</v>
      </c>
      <c r="D42" s="20" t="s">
        <v>71</v>
      </c>
      <c r="E42" s="68">
        <v>474000</v>
      </c>
      <c r="F42" s="20">
        <v>1989</v>
      </c>
      <c r="G42" s="66" t="s">
        <v>320</v>
      </c>
      <c r="H42" s="63" t="s">
        <v>34</v>
      </c>
      <c r="I42" s="70" t="s">
        <v>35</v>
      </c>
      <c r="J42" s="20" t="s">
        <v>35</v>
      </c>
      <c r="K42" s="70" t="s">
        <v>34</v>
      </c>
      <c r="L42" s="98" t="s">
        <v>34</v>
      </c>
    </row>
    <row r="43" spans="2:12">
      <c r="B43" s="97" t="s">
        <v>456</v>
      </c>
      <c r="C43" s="66" t="s">
        <v>425</v>
      </c>
      <c r="D43" s="20" t="s">
        <v>71</v>
      </c>
      <c r="E43" s="68">
        <v>505000</v>
      </c>
      <c r="F43" s="20">
        <v>2008</v>
      </c>
      <c r="G43" s="66" t="s">
        <v>457</v>
      </c>
      <c r="H43" s="63" t="s">
        <v>34</v>
      </c>
      <c r="I43" s="70" t="s">
        <v>35</v>
      </c>
      <c r="J43" s="20" t="s">
        <v>34</v>
      </c>
      <c r="K43" s="70" t="s">
        <v>34</v>
      </c>
      <c r="L43" s="98" t="s">
        <v>34</v>
      </c>
    </row>
    <row r="44" spans="2:12">
      <c r="B44" s="97"/>
      <c r="C44" s="66"/>
      <c r="D44" s="20"/>
      <c r="E44" s="68"/>
      <c r="F44" s="20"/>
      <c r="G44" s="66"/>
      <c r="H44" s="63"/>
      <c r="I44" s="70"/>
      <c r="J44" s="20"/>
      <c r="K44" s="70"/>
      <c r="L44" s="98"/>
    </row>
    <row r="45" spans="2:12">
      <c r="B45" s="97"/>
      <c r="C45" s="66"/>
      <c r="D45" s="20"/>
      <c r="E45" s="68"/>
      <c r="F45" s="20"/>
      <c r="G45" s="66"/>
      <c r="H45" s="63"/>
      <c r="I45" s="70"/>
      <c r="J45" s="20"/>
      <c r="K45" s="70"/>
      <c r="L45" s="98"/>
    </row>
    <row r="46" spans="2:12">
      <c r="B46" s="97"/>
      <c r="C46" s="66"/>
      <c r="D46" s="20"/>
      <c r="E46" s="68"/>
      <c r="F46" s="20"/>
      <c r="G46" s="66"/>
      <c r="H46" s="63"/>
      <c r="I46" s="70"/>
      <c r="J46" s="20"/>
      <c r="K46" s="70"/>
      <c r="L46" s="98"/>
    </row>
    <row r="47" spans="2:12">
      <c r="B47" s="97"/>
      <c r="C47" s="66"/>
      <c r="D47" s="20"/>
      <c r="E47" s="68"/>
      <c r="F47" s="20"/>
      <c r="G47" s="66"/>
      <c r="H47" s="63"/>
      <c r="I47" s="70"/>
      <c r="J47" s="20"/>
      <c r="K47" s="70"/>
      <c r="L47" s="98"/>
    </row>
    <row r="48" spans="2:12">
      <c r="B48" s="97"/>
      <c r="C48" s="66"/>
      <c r="D48" s="20"/>
      <c r="E48" s="68"/>
      <c r="F48" s="20"/>
      <c r="G48" s="66"/>
      <c r="H48" s="63"/>
      <c r="I48" s="70"/>
      <c r="J48" s="20"/>
      <c r="K48" s="70"/>
      <c r="L48" s="98"/>
    </row>
    <row r="49" spans="2:12">
      <c r="B49" s="97"/>
      <c r="C49" s="66"/>
      <c r="D49" s="20"/>
      <c r="E49" s="68"/>
      <c r="F49" s="20"/>
      <c r="G49" s="66"/>
      <c r="H49" s="63"/>
      <c r="I49" s="70"/>
      <c r="J49" s="20"/>
      <c r="K49" s="70"/>
      <c r="L49" s="98"/>
    </row>
    <row r="50" spans="2:12" ht="17" thickBot="1">
      <c r="B50" s="99"/>
      <c r="C50" s="100"/>
      <c r="D50" s="101"/>
      <c r="E50" s="102"/>
      <c r="F50" s="101"/>
      <c r="G50" s="100"/>
      <c r="H50" s="106"/>
      <c r="I50" s="107"/>
      <c r="J50" s="101"/>
      <c r="K50" s="107"/>
      <c r="L50" s="108"/>
    </row>
  </sheetData>
  <mergeCells count="2">
    <mergeCell ref="J9:N9"/>
    <mergeCell ref="H31:L3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1]!_xludf.Search">
                <anchor moveWithCells="1" sizeWithCells="1">
                  <from>
                    <xdr:col>4</xdr:col>
                    <xdr:colOff>88900</xdr:colOff>
                    <xdr:row>4</xdr:row>
                    <xdr:rowOff>139700</xdr:rowOff>
                  </from>
                  <to>
                    <xdr:col>5</xdr:col>
                    <xdr:colOff>406400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1A97399-A519-484F-B165-5AF72AC287E3}">
          <x14:formula1>
            <xm:f>'Resale Market'!$D$11:$D$421</xm:f>
          </x14:formula1>
          <xm:sqref>C6</xm:sqref>
        </x14:dataValidation>
        <x14:dataValidation type="list" allowBlank="1" showInputMessage="1" showErrorMessage="1" xr:uid="{CE8C6144-1E7D-F645-873D-7C49D5B47C3B}">
          <x14:formula1>
            <xm:f>'Resale Market'!$C$11:$C$421</xm:f>
          </x14:formula1>
          <xm:sqref>B6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14267-5BED-A946-B9C6-03FC1BA8CF2E}">
  <sheetPr codeName="Sheet5"/>
  <dimension ref="B2:H31"/>
  <sheetViews>
    <sheetView showGridLines="0" tabSelected="1" zoomScaleNormal="100" workbookViewId="0">
      <selection activeCell="C21" sqref="C21"/>
    </sheetView>
  </sheetViews>
  <sheetFormatPr baseColWidth="10" defaultColWidth="8.83203125" defaultRowHeight="16"/>
  <cols>
    <col min="2" max="2" width="27.5" customWidth="1"/>
    <col min="3" max="3" width="25.1640625" bestFit="1" customWidth="1"/>
    <col min="4" max="4" width="24.1640625" customWidth="1"/>
    <col min="5" max="5" width="22.5" customWidth="1"/>
    <col min="6" max="7" width="19.5" customWidth="1"/>
    <col min="9" max="9" width="25.6640625" bestFit="1" customWidth="1"/>
    <col min="10" max="10" width="9" bestFit="1" customWidth="1"/>
  </cols>
  <sheetData>
    <row r="2" spans="2:8" ht="26">
      <c r="B2" s="74" t="s">
        <v>797</v>
      </c>
      <c r="C2" s="75"/>
      <c r="D2" s="75"/>
      <c r="E2" s="75"/>
      <c r="F2" s="75"/>
      <c r="G2" s="75"/>
      <c r="H2" s="75"/>
    </row>
    <row r="4" spans="2:8">
      <c r="B4" s="55" t="s">
        <v>44</v>
      </c>
    </row>
    <row r="5" spans="2:8">
      <c r="B5" s="205" t="s">
        <v>45</v>
      </c>
      <c r="C5" s="150">
        <v>3.7499999999999999E-2</v>
      </c>
    </row>
    <row r="6" spans="2:8" ht="34">
      <c r="B6" s="206" t="s">
        <v>46</v>
      </c>
      <c r="C6" s="150">
        <f>C5/12</f>
        <v>3.1249999999999997E-3</v>
      </c>
    </row>
    <row r="7" spans="2:8">
      <c r="B7" s="207" t="s">
        <v>47</v>
      </c>
      <c r="C7" s="151">
        <v>3.6540000000000003E-2</v>
      </c>
      <c r="D7" s="18" t="s">
        <v>48</v>
      </c>
    </row>
    <row r="8" spans="2:8" ht="34">
      <c r="B8" s="208" t="s">
        <v>49</v>
      </c>
      <c r="C8" s="151">
        <f>1%</f>
        <v>0.01</v>
      </c>
    </row>
    <row r="9" spans="2:8" ht="34">
      <c r="B9" s="206" t="s">
        <v>50</v>
      </c>
      <c r="C9" s="151">
        <f>C10/12</f>
        <v>3.8783333333333339E-3</v>
      </c>
      <c r="D9" s="49"/>
    </row>
    <row r="10" spans="2:8">
      <c r="B10" s="205" t="s">
        <v>801</v>
      </c>
      <c r="C10" s="150">
        <f>C7+C8</f>
        <v>4.6540000000000005E-2</v>
      </c>
    </row>
    <row r="12" spans="2:8">
      <c r="B12" s="18" t="s">
        <v>51</v>
      </c>
    </row>
    <row r="13" spans="2:8">
      <c r="B13" s="153" t="s">
        <v>52</v>
      </c>
      <c r="C13" s="154">
        <v>500000</v>
      </c>
      <c r="D13" s="148" t="s">
        <v>796</v>
      </c>
    </row>
    <row r="14" spans="2:8" ht="22.5" customHeight="1">
      <c r="B14" s="152" t="s">
        <v>53</v>
      </c>
      <c r="C14" s="157">
        <v>0.6</v>
      </c>
      <c r="D14" s="148" t="s">
        <v>796</v>
      </c>
    </row>
    <row r="15" spans="2:8" ht="37.25" customHeight="1">
      <c r="B15" s="155" t="s">
        <v>54</v>
      </c>
      <c r="C15" s="156">
        <v>36</v>
      </c>
      <c r="D15" s="148" t="s">
        <v>796</v>
      </c>
    </row>
    <row r="16" spans="2:8">
      <c r="C16" s="54" t="s">
        <v>55</v>
      </c>
    </row>
    <row r="17" spans="2:7">
      <c r="E17" s="23"/>
      <c r="F17" s="182"/>
      <c r="G17" s="182"/>
    </row>
    <row r="18" spans="2:7" ht="17" thickBot="1">
      <c r="B18" s="55" t="s">
        <v>56</v>
      </c>
      <c r="D18" s="49"/>
      <c r="E18" s="193"/>
      <c r="F18" s="182"/>
      <c r="G18" s="182"/>
    </row>
    <row r="19" spans="2:7">
      <c r="B19" s="184" t="s">
        <v>57</v>
      </c>
      <c r="C19" s="185">
        <f>C13*C14</f>
        <v>300000</v>
      </c>
      <c r="E19" s="193"/>
      <c r="F19" s="182"/>
      <c r="G19" s="182"/>
    </row>
    <row r="20" spans="2:7">
      <c r="B20" s="186" t="s">
        <v>58</v>
      </c>
      <c r="C20" s="187">
        <f>IF(C15&gt;60,(C19*(1+C6)^60)*((1+C9)^(C15-60)),C19*(1+C6)^C15)</f>
        <v>335662.79132020258</v>
      </c>
      <c r="D20" s="49"/>
      <c r="E20" s="193"/>
      <c r="F20" s="182"/>
      <c r="G20" s="182"/>
    </row>
    <row r="21" spans="2:7">
      <c r="B21" s="188" t="s">
        <v>800</v>
      </c>
      <c r="C21" s="189">
        <f>C19/C15</f>
        <v>8333.3333333333339</v>
      </c>
      <c r="E21" s="182"/>
      <c r="F21" s="182"/>
      <c r="G21" s="182"/>
    </row>
    <row r="22" spans="2:7" ht="17" thickBot="1">
      <c r="B22" s="190" t="s">
        <v>799</v>
      </c>
      <c r="C22" s="191">
        <f>C20-C19</f>
        <v>35662.791320202581</v>
      </c>
      <c r="E22" s="182"/>
      <c r="F22" s="182"/>
      <c r="G22" s="182"/>
    </row>
    <row r="23" spans="2:7">
      <c r="B23" s="183"/>
      <c r="D23" s="23"/>
      <c r="E23" s="182"/>
      <c r="F23" s="182"/>
      <c r="G23" s="182"/>
    </row>
    <row r="24" spans="2:7">
      <c r="B24" s="50"/>
      <c r="C24" s="23"/>
      <c r="E24" s="182"/>
      <c r="F24" s="182"/>
      <c r="G24" s="182"/>
    </row>
    <row r="25" spans="2:7">
      <c r="B25" s="50"/>
      <c r="C25" s="23"/>
      <c r="E25" s="182"/>
      <c r="F25" s="182"/>
      <c r="G25" s="182"/>
    </row>
    <row r="26" spans="2:7">
      <c r="B26" s="183"/>
      <c r="D26" s="23"/>
      <c r="E26" s="182"/>
      <c r="F26" s="182"/>
      <c r="G26" s="182"/>
    </row>
    <row r="27" spans="2:7">
      <c r="B27" s="50"/>
      <c r="C27" s="23"/>
      <c r="E27" s="182"/>
      <c r="F27" s="182"/>
      <c r="G27" s="182"/>
    </row>
    <row r="28" spans="2:7">
      <c r="B28" s="50"/>
      <c r="C28" s="23"/>
      <c r="D28" s="23"/>
      <c r="E28" s="182"/>
      <c r="F28" s="182"/>
      <c r="G28" s="182"/>
    </row>
    <row r="29" spans="2:7">
      <c r="E29" s="23"/>
    </row>
    <row r="30" spans="2:7">
      <c r="E30" s="23"/>
    </row>
    <row r="31" spans="2:7">
      <c r="D31" s="149"/>
      <c r="G31" s="18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inner 2">
              <controlPr defaultSize="0" autoPict="0">
                <anchor moveWithCells="1" sizeWithCells="1">
                  <from>
                    <xdr:col>2</xdr:col>
                    <xdr:colOff>1638300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37DA-A0E7-3F45-8E65-F0C39E4884C8}">
  <sheetPr codeName="Sheet3">
    <tabColor theme="7" tint="0.79998168889431442"/>
  </sheetPr>
  <dimension ref="A1:Q59"/>
  <sheetViews>
    <sheetView showGridLines="0" zoomScale="63" zoomScaleNormal="100" workbookViewId="0">
      <selection activeCell="G71" sqref="G71"/>
    </sheetView>
  </sheetViews>
  <sheetFormatPr baseColWidth="10" defaultColWidth="11" defaultRowHeight="15.75" customHeight="1"/>
  <cols>
    <col min="2" max="2" width="30.83203125" customWidth="1"/>
    <col min="3" max="3" width="30.6640625" customWidth="1"/>
    <col min="4" max="5" width="17.6640625" customWidth="1"/>
    <col min="6" max="6" width="23.1640625" customWidth="1"/>
    <col min="7" max="7" width="22.6640625" customWidth="1"/>
    <col min="8" max="9" width="22.6640625" style="23" customWidth="1"/>
    <col min="10" max="10" width="19.1640625" customWidth="1"/>
    <col min="11" max="11" width="12.6640625" customWidth="1"/>
    <col min="12" max="12" width="20.83203125" customWidth="1"/>
    <col min="13" max="13" width="15.1640625" customWidth="1"/>
    <col min="14" max="14" width="15.5" customWidth="1"/>
    <col min="17" max="17" width="15.6640625" customWidth="1"/>
  </cols>
  <sheetData>
    <row r="1" spans="1:17" ht="19">
      <c r="A1" s="130" t="s">
        <v>59</v>
      </c>
      <c r="C1" s="18"/>
      <c r="D1" s="18"/>
      <c r="E1" s="18"/>
    </row>
    <row r="4" spans="1:17" ht="15.75" customHeight="1">
      <c r="B4" s="4" t="s">
        <v>60</v>
      </c>
      <c r="C4" s="46"/>
      <c r="D4" s="46"/>
      <c r="E4" s="46"/>
    </row>
    <row r="5" spans="1:17" ht="15.75" customHeight="1">
      <c r="B5" s="2" t="s">
        <v>61</v>
      </c>
      <c r="C5" s="20"/>
      <c r="D5" s="20"/>
    </row>
    <row r="6" spans="1:17" ht="15.75" customHeight="1">
      <c r="B6" s="3" t="s">
        <v>62</v>
      </c>
      <c r="C6" s="20"/>
      <c r="D6" s="50"/>
      <c r="G6" s="119"/>
    </row>
    <row r="9" spans="1:17" ht="15.75" customHeight="1">
      <c r="J9" s="197" t="s">
        <v>18</v>
      </c>
      <c r="K9" s="197"/>
      <c r="L9" s="197"/>
      <c r="M9" s="197"/>
      <c r="N9" s="197"/>
    </row>
    <row r="10" spans="1:17" ht="43">
      <c r="B10" s="14" t="s">
        <v>19</v>
      </c>
      <c r="C10" s="14" t="s">
        <v>10</v>
      </c>
      <c r="D10" s="14" t="s">
        <v>11</v>
      </c>
      <c r="E10" s="123" t="s">
        <v>12</v>
      </c>
      <c r="F10" s="15" t="s">
        <v>63</v>
      </c>
      <c r="G10" s="16" t="s">
        <v>21</v>
      </c>
      <c r="H10" s="26" t="s">
        <v>22</v>
      </c>
      <c r="I10" s="26" t="s">
        <v>23</v>
      </c>
      <c r="J10" s="21" t="s">
        <v>64</v>
      </c>
      <c r="K10" s="21" t="s">
        <v>65</v>
      </c>
      <c r="L10" s="21" t="s">
        <v>26</v>
      </c>
      <c r="M10" s="21" t="s">
        <v>66</v>
      </c>
      <c r="N10" s="21" t="s">
        <v>67</v>
      </c>
      <c r="Q10" s="51"/>
    </row>
    <row r="11" spans="1:17" ht="17">
      <c r="B11" s="133" t="s">
        <v>68</v>
      </c>
      <c r="C11" s="47" t="s">
        <v>69</v>
      </c>
      <c r="D11" s="11" t="s">
        <v>31</v>
      </c>
      <c r="E11" s="124">
        <v>205500</v>
      </c>
      <c r="F11" s="5" t="s">
        <v>70</v>
      </c>
      <c r="G11" s="5" t="s">
        <v>33</v>
      </c>
      <c r="H11" s="25">
        <v>155000</v>
      </c>
      <c r="I11" s="27">
        <v>256000</v>
      </c>
      <c r="J11" s="5" t="s">
        <v>34</v>
      </c>
      <c r="K11" s="5" t="s">
        <v>35</v>
      </c>
      <c r="L11" s="9" t="s">
        <v>34</v>
      </c>
      <c r="M11" s="11" t="s">
        <v>35</v>
      </c>
      <c r="N11" s="5" t="s">
        <v>34</v>
      </c>
      <c r="Q11" s="129"/>
    </row>
    <row r="12" spans="1:17" ht="17">
      <c r="B12" s="134" t="s">
        <v>68</v>
      </c>
      <c r="C12" s="47" t="s">
        <v>69</v>
      </c>
      <c r="D12" s="12" t="s">
        <v>71</v>
      </c>
      <c r="E12" s="25">
        <v>509500</v>
      </c>
      <c r="F12" s="5" t="s">
        <v>72</v>
      </c>
      <c r="G12" s="5" t="s">
        <v>73</v>
      </c>
      <c r="H12" s="25">
        <v>451000</v>
      </c>
      <c r="I12" s="27">
        <v>568000</v>
      </c>
      <c r="J12" s="5" t="s">
        <v>34</v>
      </c>
      <c r="K12" s="5" t="s">
        <v>35</v>
      </c>
      <c r="L12" s="9" t="s">
        <v>34</v>
      </c>
      <c r="M12" s="12" t="s">
        <v>35</v>
      </c>
      <c r="N12" s="5" t="s">
        <v>34</v>
      </c>
      <c r="Q12" s="129"/>
    </row>
    <row r="13" spans="1:17" ht="17">
      <c r="B13" s="134" t="s">
        <v>68</v>
      </c>
      <c r="C13" s="47" t="s">
        <v>69</v>
      </c>
      <c r="D13" s="12" t="s">
        <v>14</v>
      </c>
      <c r="E13" s="25">
        <v>667500</v>
      </c>
      <c r="F13" s="5" t="s">
        <v>74</v>
      </c>
      <c r="G13" s="5" t="s">
        <v>75</v>
      </c>
      <c r="H13" s="25">
        <v>605000</v>
      </c>
      <c r="I13" s="27">
        <v>730000</v>
      </c>
      <c r="J13" s="5" t="s">
        <v>34</v>
      </c>
      <c r="K13" s="5" t="s">
        <v>35</v>
      </c>
      <c r="L13" s="9" t="s">
        <v>34</v>
      </c>
      <c r="M13" s="12" t="s">
        <v>35</v>
      </c>
      <c r="N13" s="5" t="s">
        <v>34</v>
      </c>
      <c r="Q13" s="129"/>
    </row>
    <row r="14" spans="1:17" ht="17">
      <c r="B14" s="134" t="s">
        <v>76</v>
      </c>
      <c r="C14" s="47" t="s">
        <v>69</v>
      </c>
      <c r="D14" s="12" t="s">
        <v>31</v>
      </c>
      <c r="E14" s="25">
        <v>231000</v>
      </c>
      <c r="F14" s="5" t="s">
        <v>77</v>
      </c>
      <c r="G14" s="5" t="s">
        <v>33</v>
      </c>
      <c r="H14" s="25">
        <v>178000</v>
      </c>
      <c r="I14" s="27">
        <v>284000</v>
      </c>
      <c r="J14" s="5" t="s">
        <v>34</v>
      </c>
      <c r="K14" s="5" t="s">
        <v>35</v>
      </c>
      <c r="L14" s="9" t="s">
        <v>34</v>
      </c>
      <c r="M14" s="12" t="s">
        <v>35</v>
      </c>
      <c r="N14" s="5" t="s">
        <v>34</v>
      </c>
      <c r="Q14" s="129"/>
    </row>
    <row r="15" spans="1:17" ht="17">
      <c r="B15" s="134" t="s">
        <v>76</v>
      </c>
      <c r="C15" s="47" t="s">
        <v>69</v>
      </c>
      <c r="D15" s="12" t="s">
        <v>71</v>
      </c>
      <c r="E15" s="25">
        <v>564500</v>
      </c>
      <c r="F15" s="5" t="s">
        <v>78</v>
      </c>
      <c r="G15" s="5" t="s">
        <v>73</v>
      </c>
      <c r="H15" s="25">
        <v>491000</v>
      </c>
      <c r="I15" s="27">
        <v>638000</v>
      </c>
      <c r="J15" s="5" t="s">
        <v>34</v>
      </c>
      <c r="K15" s="5" t="s">
        <v>35</v>
      </c>
      <c r="L15" s="9" t="s">
        <v>34</v>
      </c>
      <c r="M15" s="12" t="s">
        <v>35</v>
      </c>
      <c r="N15" s="5" t="s">
        <v>34</v>
      </c>
      <c r="Q15" s="129"/>
    </row>
    <row r="16" spans="1:17" ht="17">
      <c r="B16" s="135" t="s">
        <v>79</v>
      </c>
      <c r="C16" s="48" t="s">
        <v>13</v>
      </c>
      <c r="D16" s="12" t="s">
        <v>31</v>
      </c>
      <c r="E16" s="25">
        <v>128500</v>
      </c>
      <c r="F16" s="6" t="s">
        <v>80</v>
      </c>
      <c r="G16" s="6" t="s">
        <v>81</v>
      </c>
      <c r="H16" s="30">
        <v>102000</v>
      </c>
      <c r="I16" s="28">
        <v>155000</v>
      </c>
      <c r="J16" s="5" t="s">
        <v>34</v>
      </c>
      <c r="K16" s="6" t="s">
        <v>34</v>
      </c>
      <c r="L16" s="9" t="s">
        <v>34</v>
      </c>
      <c r="M16" s="12" t="s">
        <v>34</v>
      </c>
      <c r="N16" s="5" t="s">
        <v>35</v>
      </c>
      <c r="Q16" s="129"/>
    </row>
    <row r="17" spans="2:17" ht="17">
      <c r="B17" s="135" t="s">
        <v>79</v>
      </c>
      <c r="C17" s="48" t="s">
        <v>13</v>
      </c>
      <c r="D17" s="125" t="s">
        <v>82</v>
      </c>
      <c r="E17" s="30">
        <v>227500</v>
      </c>
      <c r="F17" s="6" t="s">
        <v>83</v>
      </c>
      <c r="G17" s="6" t="s">
        <v>84</v>
      </c>
      <c r="H17" s="30">
        <v>202000</v>
      </c>
      <c r="I17" s="28">
        <v>253000</v>
      </c>
      <c r="J17" s="5" t="s">
        <v>34</v>
      </c>
      <c r="K17" s="6" t="s">
        <v>34</v>
      </c>
      <c r="L17" s="9" t="s">
        <v>34</v>
      </c>
      <c r="M17" s="12" t="s">
        <v>34</v>
      </c>
      <c r="N17" s="5" t="s">
        <v>35</v>
      </c>
      <c r="Q17" s="129"/>
    </row>
    <row r="18" spans="2:17" ht="17">
      <c r="B18" s="135" t="s">
        <v>79</v>
      </c>
      <c r="C18" s="48" t="s">
        <v>13</v>
      </c>
      <c r="D18" s="12" t="s">
        <v>71</v>
      </c>
      <c r="E18" s="25">
        <v>338000</v>
      </c>
      <c r="F18" s="6" t="s">
        <v>85</v>
      </c>
      <c r="G18" s="6" t="s">
        <v>86</v>
      </c>
      <c r="H18" s="30">
        <v>300000</v>
      </c>
      <c r="I18" s="28">
        <v>376000</v>
      </c>
      <c r="J18" s="5" t="s">
        <v>34</v>
      </c>
      <c r="K18" s="6" t="s">
        <v>34</v>
      </c>
      <c r="L18" s="9" t="s">
        <v>34</v>
      </c>
      <c r="M18" s="12" t="s">
        <v>34</v>
      </c>
      <c r="N18" s="5" t="s">
        <v>35</v>
      </c>
      <c r="Q18" s="129"/>
    </row>
    <row r="19" spans="2:17" ht="17">
      <c r="B19" s="135" t="s">
        <v>29</v>
      </c>
      <c r="C19" s="48" t="s">
        <v>30</v>
      </c>
      <c r="D19" s="12" t="s">
        <v>31</v>
      </c>
      <c r="E19" s="25">
        <v>156500</v>
      </c>
      <c r="F19" s="6" t="s">
        <v>32</v>
      </c>
      <c r="G19" s="6" t="s">
        <v>33</v>
      </c>
      <c r="H19" s="30">
        <v>136000</v>
      </c>
      <c r="I19" s="28">
        <v>177000</v>
      </c>
      <c r="J19" s="5" t="s">
        <v>34</v>
      </c>
      <c r="K19" s="6" t="s">
        <v>34</v>
      </c>
      <c r="L19" s="9" t="s">
        <v>34</v>
      </c>
      <c r="M19" s="12" t="s">
        <v>35</v>
      </c>
      <c r="N19" s="5" t="s">
        <v>35</v>
      </c>
      <c r="Q19" s="129"/>
    </row>
    <row r="20" spans="2:17" ht="17">
      <c r="B20" s="135" t="s">
        <v>29</v>
      </c>
      <c r="C20" s="48" t="s">
        <v>30</v>
      </c>
      <c r="D20" s="125" t="s">
        <v>82</v>
      </c>
      <c r="E20" s="30">
        <v>270500</v>
      </c>
      <c r="F20" s="6" t="s">
        <v>87</v>
      </c>
      <c r="G20" s="6" t="s">
        <v>88</v>
      </c>
      <c r="H20" s="30">
        <v>247000</v>
      </c>
      <c r="I20" s="28">
        <v>294000</v>
      </c>
      <c r="J20" s="5" t="s">
        <v>34</v>
      </c>
      <c r="K20" s="6" t="s">
        <v>34</v>
      </c>
      <c r="L20" s="9" t="s">
        <v>34</v>
      </c>
      <c r="M20" s="12" t="s">
        <v>35</v>
      </c>
      <c r="N20" s="5" t="s">
        <v>35</v>
      </c>
      <c r="Q20" s="129"/>
    </row>
    <row r="21" spans="2:17" ht="17">
      <c r="B21" s="135" t="s">
        <v>29</v>
      </c>
      <c r="C21" s="48" t="s">
        <v>30</v>
      </c>
      <c r="D21" s="12" t="s">
        <v>71</v>
      </c>
      <c r="E21" s="25">
        <v>401500</v>
      </c>
      <c r="F21" s="6" t="s">
        <v>89</v>
      </c>
      <c r="G21" s="6" t="s">
        <v>90</v>
      </c>
      <c r="H21" s="30">
        <v>371000</v>
      </c>
      <c r="I21" s="28">
        <v>432000</v>
      </c>
      <c r="J21" s="5" t="s">
        <v>34</v>
      </c>
      <c r="K21" s="6" t="s">
        <v>34</v>
      </c>
      <c r="L21" s="9" t="s">
        <v>34</v>
      </c>
      <c r="M21" s="12" t="s">
        <v>35</v>
      </c>
      <c r="N21" s="5" t="s">
        <v>35</v>
      </c>
      <c r="Q21" s="129"/>
    </row>
    <row r="22" spans="2:17" ht="17">
      <c r="B22" s="135" t="s">
        <v>91</v>
      </c>
      <c r="C22" s="48" t="s">
        <v>92</v>
      </c>
      <c r="D22" s="12" t="s">
        <v>31</v>
      </c>
      <c r="E22" s="25">
        <v>176000</v>
      </c>
      <c r="F22" s="8" t="s">
        <v>93</v>
      </c>
      <c r="G22" s="5" t="s">
        <v>94</v>
      </c>
      <c r="H22" s="25">
        <v>131000</v>
      </c>
      <c r="I22" s="27">
        <v>221000</v>
      </c>
      <c r="J22" s="5" t="s">
        <v>34</v>
      </c>
      <c r="K22" s="5" t="s">
        <v>35</v>
      </c>
      <c r="L22" s="9" t="s">
        <v>34</v>
      </c>
      <c r="M22" s="12" t="s">
        <v>35</v>
      </c>
      <c r="N22" s="5" t="s">
        <v>35</v>
      </c>
      <c r="Q22" s="129"/>
    </row>
    <row r="23" spans="2:17" ht="17">
      <c r="B23" s="135" t="s">
        <v>91</v>
      </c>
      <c r="C23" s="48" t="s">
        <v>92</v>
      </c>
      <c r="D23" s="125" t="s">
        <v>82</v>
      </c>
      <c r="E23" s="30">
        <v>269000</v>
      </c>
      <c r="F23" s="8" t="s">
        <v>95</v>
      </c>
      <c r="G23" s="6" t="s">
        <v>96</v>
      </c>
      <c r="H23" s="25">
        <v>242000</v>
      </c>
      <c r="I23" s="28">
        <v>296000</v>
      </c>
      <c r="J23" s="5" t="s">
        <v>34</v>
      </c>
      <c r="K23" s="5" t="s">
        <v>35</v>
      </c>
      <c r="L23" s="9" t="s">
        <v>34</v>
      </c>
      <c r="M23" s="12" t="s">
        <v>35</v>
      </c>
      <c r="N23" s="5" t="s">
        <v>35</v>
      </c>
      <c r="Q23" s="129"/>
    </row>
    <row r="24" spans="2:17" ht="17">
      <c r="B24" s="135" t="s">
        <v>91</v>
      </c>
      <c r="C24" s="48" t="s">
        <v>92</v>
      </c>
      <c r="D24" s="12" t="s">
        <v>71</v>
      </c>
      <c r="E24" s="25">
        <v>373500</v>
      </c>
      <c r="F24" s="6" t="s">
        <v>97</v>
      </c>
      <c r="G24" s="6" t="s">
        <v>98</v>
      </c>
      <c r="H24" s="30">
        <v>318000</v>
      </c>
      <c r="I24" s="28">
        <v>429000</v>
      </c>
      <c r="J24" s="5" t="s">
        <v>34</v>
      </c>
      <c r="K24" s="5" t="s">
        <v>35</v>
      </c>
      <c r="L24" s="9" t="s">
        <v>34</v>
      </c>
      <c r="M24" s="12" t="s">
        <v>35</v>
      </c>
      <c r="N24" s="5" t="s">
        <v>35</v>
      </c>
      <c r="Q24" s="129"/>
    </row>
    <row r="25" spans="2:17" ht="17">
      <c r="B25" s="135" t="s">
        <v>91</v>
      </c>
      <c r="C25" s="48" t="s">
        <v>92</v>
      </c>
      <c r="D25" s="12" t="s">
        <v>14</v>
      </c>
      <c r="E25" s="25">
        <v>523000</v>
      </c>
      <c r="F25" s="6" t="s">
        <v>99</v>
      </c>
      <c r="G25" s="6" t="s">
        <v>100</v>
      </c>
      <c r="H25" s="30">
        <v>464000</v>
      </c>
      <c r="I25" s="28">
        <v>582000</v>
      </c>
      <c r="J25" s="5" t="s">
        <v>34</v>
      </c>
      <c r="K25" s="5" t="s">
        <v>35</v>
      </c>
      <c r="L25" s="9" t="s">
        <v>34</v>
      </c>
      <c r="M25" s="12" t="s">
        <v>35</v>
      </c>
      <c r="N25" s="5" t="s">
        <v>35</v>
      </c>
      <c r="Q25" s="129"/>
    </row>
    <row r="26" spans="2:17" ht="17">
      <c r="B26" s="134" t="s">
        <v>101</v>
      </c>
      <c r="C26" s="47" t="s">
        <v>102</v>
      </c>
      <c r="D26" s="12" t="s">
        <v>31</v>
      </c>
      <c r="E26" s="25">
        <v>294000</v>
      </c>
      <c r="F26" s="5" t="s">
        <v>103</v>
      </c>
      <c r="G26" s="5" t="s">
        <v>33</v>
      </c>
      <c r="H26" s="25">
        <v>235000</v>
      </c>
      <c r="I26" s="27">
        <v>353000</v>
      </c>
      <c r="J26" s="5" t="s">
        <v>34</v>
      </c>
      <c r="K26" s="5" t="s">
        <v>34</v>
      </c>
      <c r="L26" s="9" t="s">
        <v>34</v>
      </c>
      <c r="M26" s="12" t="s">
        <v>34</v>
      </c>
      <c r="N26" s="5" t="s">
        <v>34</v>
      </c>
      <c r="Q26" s="129"/>
    </row>
    <row r="27" spans="2:17" ht="17">
      <c r="B27" s="134" t="s">
        <v>101</v>
      </c>
      <c r="C27" s="47" t="s">
        <v>102</v>
      </c>
      <c r="D27" s="12" t="s">
        <v>71</v>
      </c>
      <c r="E27" s="25">
        <v>642500</v>
      </c>
      <c r="F27" s="5" t="s">
        <v>104</v>
      </c>
      <c r="G27" s="5" t="s">
        <v>105</v>
      </c>
      <c r="H27" s="25">
        <v>565000</v>
      </c>
      <c r="I27" s="27">
        <v>720000</v>
      </c>
      <c r="J27" s="5" t="s">
        <v>34</v>
      </c>
      <c r="K27" s="5" t="s">
        <v>34</v>
      </c>
      <c r="L27" s="9" t="s">
        <v>34</v>
      </c>
      <c r="M27" s="12" t="s">
        <v>34</v>
      </c>
      <c r="N27" s="5" t="s">
        <v>34</v>
      </c>
      <c r="Q27" s="129"/>
    </row>
    <row r="28" spans="2:17" ht="17">
      <c r="B28" s="135" t="s">
        <v>106</v>
      </c>
      <c r="C28" s="48" t="s">
        <v>107</v>
      </c>
      <c r="D28" s="12" t="s">
        <v>31</v>
      </c>
      <c r="E28" s="25">
        <v>151500</v>
      </c>
      <c r="F28" s="6" t="s">
        <v>108</v>
      </c>
      <c r="G28" s="6" t="s">
        <v>109</v>
      </c>
      <c r="H28" s="30">
        <v>119000</v>
      </c>
      <c r="I28" s="28">
        <v>184000</v>
      </c>
      <c r="J28" s="5" t="s">
        <v>34</v>
      </c>
      <c r="K28" s="6" t="s">
        <v>34</v>
      </c>
      <c r="L28" s="9" t="s">
        <v>34</v>
      </c>
      <c r="M28" s="12" t="s">
        <v>110</v>
      </c>
      <c r="N28" s="5" t="s">
        <v>34</v>
      </c>
      <c r="Q28" s="129"/>
    </row>
    <row r="29" spans="2:17" ht="17">
      <c r="B29" s="135" t="s">
        <v>106</v>
      </c>
      <c r="C29" s="48" t="s">
        <v>107</v>
      </c>
      <c r="D29" s="125" t="s">
        <v>82</v>
      </c>
      <c r="E29" s="30">
        <v>250500</v>
      </c>
      <c r="F29" s="6" t="s">
        <v>111</v>
      </c>
      <c r="G29" s="6" t="s">
        <v>112</v>
      </c>
      <c r="H29" s="30">
        <v>223000</v>
      </c>
      <c r="I29" s="28">
        <v>278000</v>
      </c>
      <c r="J29" s="5" t="s">
        <v>34</v>
      </c>
      <c r="K29" s="6" t="s">
        <v>34</v>
      </c>
      <c r="L29" s="9" t="s">
        <v>34</v>
      </c>
      <c r="M29" s="12" t="s">
        <v>110</v>
      </c>
      <c r="N29" s="5" t="s">
        <v>34</v>
      </c>
      <c r="Q29" s="129"/>
    </row>
    <row r="30" spans="2:17" ht="17">
      <c r="B30" s="135" t="s">
        <v>106</v>
      </c>
      <c r="C30" s="48" t="s">
        <v>107</v>
      </c>
      <c r="D30" s="12" t="s">
        <v>71</v>
      </c>
      <c r="E30" s="25">
        <v>344000</v>
      </c>
      <c r="F30" s="6" t="s">
        <v>113</v>
      </c>
      <c r="G30" s="6" t="s">
        <v>114</v>
      </c>
      <c r="H30" s="30">
        <v>303000</v>
      </c>
      <c r="I30" s="28">
        <v>385000</v>
      </c>
      <c r="J30" s="5" t="s">
        <v>34</v>
      </c>
      <c r="K30" s="6" t="s">
        <v>34</v>
      </c>
      <c r="L30" s="9" t="s">
        <v>34</v>
      </c>
      <c r="M30" s="12" t="s">
        <v>110</v>
      </c>
      <c r="N30" s="5" t="s">
        <v>34</v>
      </c>
      <c r="Q30" s="129"/>
    </row>
    <row r="31" spans="2:17" ht="17">
      <c r="B31" s="136" t="s">
        <v>106</v>
      </c>
      <c r="C31" s="128" t="s">
        <v>107</v>
      </c>
      <c r="D31" s="126" t="s">
        <v>14</v>
      </c>
      <c r="E31" s="127">
        <v>463500</v>
      </c>
      <c r="F31" s="19" t="s">
        <v>115</v>
      </c>
      <c r="G31" s="22" t="s">
        <v>116</v>
      </c>
      <c r="H31" s="31">
        <v>412000</v>
      </c>
      <c r="I31" s="29">
        <v>515000</v>
      </c>
      <c r="J31" s="7" t="s">
        <v>34</v>
      </c>
      <c r="K31" s="19" t="s">
        <v>34</v>
      </c>
      <c r="L31" s="10" t="s">
        <v>34</v>
      </c>
      <c r="M31" s="13" t="s">
        <v>110</v>
      </c>
      <c r="N31" s="7" t="s">
        <v>34</v>
      </c>
      <c r="Q31" s="129"/>
    </row>
    <row r="32" spans="2:17" ht="16">
      <c r="F32" s="1"/>
      <c r="G32" s="1"/>
      <c r="H32" s="24"/>
      <c r="I32" s="24"/>
      <c r="J32" s="1"/>
      <c r="K32" s="1"/>
      <c r="L32" s="1"/>
      <c r="M32" s="1"/>
      <c r="N32" s="1"/>
    </row>
    <row r="34" spans="2:16" ht="16">
      <c r="B34" s="45" t="s">
        <v>117</v>
      </c>
      <c r="C34" s="45"/>
      <c r="D34" s="45"/>
      <c r="E34" s="45"/>
    </row>
    <row r="35" spans="2:16" ht="16">
      <c r="B35" t="s">
        <v>118</v>
      </c>
      <c r="D35" s="1"/>
      <c r="E35" s="1"/>
      <c r="F35" s="1"/>
    </row>
    <row r="36" spans="2:16" ht="16">
      <c r="D36" s="20"/>
      <c r="E36" s="20"/>
      <c r="F36" s="115"/>
    </row>
    <row r="37" spans="2:16" ht="15.75" customHeight="1">
      <c r="B37" s="1"/>
      <c r="C37" s="1"/>
      <c r="D37" s="1"/>
      <c r="E37" s="1"/>
      <c r="F37" s="192"/>
      <c r="G37" s="9"/>
      <c r="H37" s="51"/>
      <c r="I37" s="51"/>
      <c r="J37" s="9"/>
      <c r="K37" s="9"/>
      <c r="L37" s="9"/>
      <c r="M37" s="9"/>
      <c r="N37" s="9"/>
      <c r="O37" s="9"/>
    </row>
    <row r="38" spans="2:16" ht="15.75" customHeight="1">
      <c r="B38" s="20"/>
      <c r="C38" s="20"/>
      <c r="D38" s="20"/>
      <c r="E38" s="117"/>
      <c r="F38" s="20"/>
      <c r="G38" s="20"/>
      <c r="H38" s="117"/>
      <c r="I38" s="118"/>
      <c r="J38" s="1"/>
      <c r="K38" s="20"/>
      <c r="L38" s="9"/>
      <c r="M38" s="1"/>
      <c r="N38" s="1"/>
      <c r="O38" s="9"/>
    </row>
    <row r="39" spans="2:16" ht="15.75" customHeight="1">
      <c r="C39" s="20"/>
      <c r="D39" s="20"/>
      <c r="E39" s="1"/>
      <c r="F39" s="115"/>
      <c r="G39" s="1"/>
      <c r="H39" s="1"/>
      <c r="I39" s="115"/>
      <c r="J39" s="116"/>
      <c r="K39" s="1"/>
      <c r="L39" s="1"/>
      <c r="M39" s="9"/>
      <c r="N39" s="1"/>
      <c r="O39" s="1"/>
    </row>
    <row r="40" spans="2:16" ht="15.75" customHeight="1">
      <c r="C40" s="20"/>
      <c r="D40" s="20"/>
      <c r="E40" s="1"/>
      <c r="F40" s="115"/>
      <c r="G40" s="1"/>
      <c r="H40" s="1"/>
      <c r="I40" s="115"/>
      <c r="J40" s="116"/>
      <c r="K40" s="1"/>
      <c r="L40" s="1"/>
      <c r="M40" s="9"/>
      <c r="N40" s="1"/>
      <c r="O40" s="1"/>
    </row>
    <row r="41" spans="2:16" ht="15.75" customHeight="1">
      <c r="C41" s="20"/>
      <c r="D41" s="20"/>
      <c r="E41" s="1"/>
      <c r="F41" s="115"/>
      <c r="G41" s="1"/>
      <c r="H41" s="1"/>
      <c r="I41" s="115"/>
      <c r="J41" s="116"/>
      <c r="K41" s="1"/>
      <c r="L41" s="1"/>
      <c r="M41" s="9"/>
      <c r="N41" s="1"/>
      <c r="O41" s="1"/>
    </row>
    <row r="42" spans="2:16" ht="15.75" customHeight="1">
      <c r="C42" s="20"/>
      <c r="D42" s="20"/>
      <c r="E42" s="1"/>
      <c r="F42" s="115"/>
      <c r="G42" s="1"/>
      <c r="H42" s="1"/>
      <c r="I42" s="115"/>
      <c r="J42" s="116"/>
      <c r="K42" s="1"/>
      <c r="L42" s="1"/>
      <c r="M42" s="9"/>
      <c r="N42" s="1"/>
      <c r="O42" s="1"/>
      <c r="P42" s="9"/>
    </row>
    <row r="43" spans="2:16" ht="15.75" customHeight="1">
      <c r="C43" s="20"/>
      <c r="D43" s="20"/>
      <c r="E43" s="1"/>
      <c r="F43" s="115"/>
      <c r="G43" s="1"/>
      <c r="H43" s="1"/>
      <c r="I43" s="115"/>
      <c r="J43" s="116"/>
      <c r="K43" s="1"/>
      <c r="L43" s="1"/>
      <c r="M43" s="9"/>
      <c r="N43" s="1"/>
      <c r="O43" s="1"/>
    </row>
    <row r="44" spans="2:16" ht="15.75" customHeight="1">
      <c r="C44" s="20"/>
      <c r="D44" s="20"/>
      <c r="E44" s="1"/>
      <c r="F44" s="115"/>
      <c r="G44" s="20"/>
      <c r="H44" s="20"/>
      <c r="I44" s="117"/>
      <c r="J44" s="118"/>
      <c r="K44" s="1"/>
      <c r="L44" s="20"/>
      <c r="M44" s="9"/>
      <c r="N44" s="1"/>
      <c r="O44" s="1"/>
    </row>
    <row r="45" spans="2:16" ht="15.75" customHeight="1">
      <c r="C45" s="20"/>
      <c r="D45" s="20"/>
      <c r="E45" s="20"/>
      <c r="F45" s="117"/>
      <c r="G45" s="20"/>
      <c r="H45" s="20"/>
      <c r="I45" s="117"/>
      <c r="J45" s="118"/>
      <c r="K45" s="1"/>
      <c r="L45" s="20"/>
      <c r="M45" s="9"/>
      <c r="N45" s="1"/>
      <c r="O45" s="1"/>
    </row>
    <row r="46" spans="2:16" ht="15.75" customHeight="1">
      <c r="C46" s="20"/>
      <c r="D46" s="20"/>
      <c r="E46" s="1"/>
      <c r="F46" s="115"/>
      <c r="G46" s="20"/>
      <c r="H46" s="20"/>
      <c r="I46" s="117"/>
      <c r="J46" s="118"/>
      <c r="K46" s="1"/>
      <c r="L46" s="20"/>
      <c r="M46" s="9"/>
      <c r="N46" s="1"/>
      <c r="O46" s="1"/>
    </row>
    <row r="47" spans="2:16" ht="15.75" customHeight="1">
      <c r="C47" s="20"/>
      <c r="D47" s="20"/>
      <c r="E47" s="1"/>
      <c r="F47" s="115"/>
      <c r="G47" s="20"/>
      <c r="H47" s="20"/>
      <c r="I47" s="117"/>
      <c r="J47" s="118"/>
      <c r="K47" s="1"/>
      <c r="L47" s="20"/>
      <c r="M47" s="9"/>
      <c r="N47" s="1"/>
      <c r="O47" s="1"/>
    </row>
    <row r="48" spans="2:16" ht="15.75" customHeight="1">
      <c r="C48" s="20"/>
      <c r="D48" s="20"/>
      <c r="E48" s="20"/>
      <c r="F48" s="117"/>
      <c r="G48" s="20"/>
      <c r="H48" s="20"/>
      <c r="I48" s="117"/>
      <c r="J48" s="118"/>
      <c r="K48" s="1"/>
      <c r="L48" s="20"/>
      <c r="M48" s="9"/>
      <c r="N48" s="1"/>
      <c r="O48" s="1"/>
    </row>
    <row r="49" spans="3:16" ht="15.75" customHeight="1">
      <c r="C49" s="20"/>
      <c r="D49" s="20"/>
      <c r="E49" s="1"/>
      <c r="F49" s="115"/>
      <c r="G49" s="20"/>
      <c r="H49" s="20"/>
      <c r="I49" s="117"/>
      <c r="J49" s="118"/>
      <c r="K49" s="1"/>
      <c r="L49" s="20"/>
      <c r="M49" s="9"/>
      <c r="N49" s="1"/>
      <c r="O49" s="1"/>
    </row>
    <row r="50" spans="3:16" ht="15.75" customHeight="1">
      <c r="C50" s="20"/>
      <c r="D50" s="20"/>
      <c r="E50" s="1"/>
      <c r="F50" s="115"/>
      <c r="G50" s="24"/>
      <c r="H50" s="1"/>
      <c r="I50" s="115"/>
      <c r="J50" s="116"/>
      <c r="K50" s="1"/>
      <c r="L50" s="1"/>
      <c r="M50" s="9"/>
      <c r="N50" s="1"/>
      <c r="O50" s="1"/>
      <c r="P50" s="9"/>
    </row>
    <row r="51" spans="3:16" ht="15.75" customHeight="1">
      <c r="C51" s="20"/>
      <c r="D51" s="20"/>
      <c r="E51" s="20"/>
      <c r="F51" s="117"/>
      <c r="G51" s="24"/>
      <c r="H51" s="20"/>
      <c r="I51" s="115"/>
      <c r="J51" s="118"/>
      <c r="K51" s="1"/>
      <c r="L51" s="1"/>
      <c r="M51" s="9"/>
      <c r="N51" s="1"/>
      <c r="O51" s="1"/>
    </row>
    <row r="52" spans="3:16" ht="15.75" customHeight="1">
      <c r="C52" s="20"/>
      <c r="D52" s="20"/>
      <c r="E52" s="1"/>
      <c r="F52" s="115"/>
      <c r="G52" s="20"/>
      <c r="H52" s="20"/>
      <c r="I52" s="117"/>
      <c r="J52" s="118"/>
      <c r="K52" s="1"/>
      <c r="L52" s="1"/>
      <c r="M52" s="9"/>
      <c r="N52" s="1"/>
      <c r="O52" s="1"/>
    </row>
    <row r="53" spans="3:16" ht="15.75" customHeight="1">
      <c r="C53" s="20"/>
      <c r="D53" s="20"/>
      <c r="E53" s="1"/>
      <c r="F53" s="115"/>
      <c r="G53" s="20"/>
      <c r="H53" s="20"/>
      <c r="I53" s="117"/>
      <c r="J53" s="118"/>
      <c r="K53" s="1"/>
      <c r="L53" s="1"/>
      <c r="M53" s="9"/>
      <c r="N53" s="1"/>
      <c r="O53" s="1"/>
      <c r="P53" s="9"/>
    </row>
    <row r="54" spans="3:16" ht="15.75" customHeight="1">
      <c r="C54" s="20"/>
      <c r="D54" s="20"/>
      <c r="E54" s="1"/>
      <c r="F54" s="115"/>
      <c r="G54" s="1"/>
      <c r="H54" s="1"/>
      <c r="I54" s="115"/>
      <c r="J54" s="116"/>
      <c r="K54" s="1"/>
      <c r="L54" s="1"/>
      <c r="M54" s="9"/>
      <c r="N54" s="1"/>
      <c r="O54" s="1"/>
    </row>
    <row r="55" spans="3:16" ht="15.75" customHeight="1">
      <c r="C55" s="20"/>
      <c r="D55" s="20"/>
      <c r="E55" s="1"/>
      <c r="F55" s="115"/>
      <c r="G55" s="1"/>
      <c r="H55" s="1"/>
      <c r="I55" s="115"/>
      <c r="J55" s="116"/>
      <c r="K55" s="1"/>
      <c r="L55" s="1"/>
      <c r="M55" s="9"/>
      <c r="N55" s="1"/>
      <c r="O55" s="1"/>
    </row>
    <row r="56" spans="3:16" ht="15.75" customHeight="1">
      <c r="C56" s="20"/>
      <c r="D56" s="20"/>
      <c r="E56" s="1"/>
      <c r="F56" s="115"/>
      <c r="G56" s="20"/>
      <c r="H56" s="20"/>
      <c r="I56" s="117"/>
      <c r="J56" s="118"/>
      <c r="K56" s="1"/>
      <c r="L56" s="20"/>
      <c r="M56" s="9"/>
      <c r="N56" s="1"/>
      <c r="O56" s="1"/>
    </row>
    <row r="57" spans="3:16" ht="15.75" customHeight="1">
      <c r="C57" s="20"/>
      <c r="D57" s="20"/>
      <c r="E57" s="20"/>
      <c r="F57" s="117"/>
      <c r="G57" s="20"/>
      <c r="H57" s="20"/>
      <c r="I57" s="117"/>
      <c r="J57" s="118"/>
      <c r="K57" s="1"/>
      <c r="L57" s="20"/>
      <c r="M57" s="9"/>
      <c r="N57" s="1"/>
      <c r="O57" s="1"/>
    </row>
    <row r="58" spans="3:16" ht="15.75" customHeight="1">
      <c r="C58" s="20"/>
      <c r="D58" s="20"/>
      <c r="E58" s="1"/>
      <c r="F58" s="115"/>
      <c r="G58" s="20"/>
      <c r="H58" s="20"/>
      <c r="I58" s="117"/>
      <c r="J58" s="118"/>
      <c r="K58" s="1"/>
      <c r="L58" s="20"/>
      <c r="M58" s="9"/>
      <c r="N58" s="1"/>
      <c r="O58" s="1"/>
    </row>
    <row r="59" spans="3:16" ht="15.75" customHeight="1">
      <c r="C59" s="20"/>
      <c r="D59" s="20"/>
      <c r="E59" s="1"/>
      <c r="F59" s="115"/>
      <c r="G59" s="20"/>
      <c r="H59" s="20"/>
      <c r="I59" s="117"/>
      <c r="J59" s="118"/>
      <c r="K59" s="1"/>
      <c r="L59" s="20"/>
      <c r="M59" s="9"/>
      <c r="N59" s="1"/>
      <c r="O59" s="1"/>
    </row>
  </sheetData>
  <mergeCells count="1">
    <mergeCell ref="J9:N9"/>
  </mergeCell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79497-6176-E944-98DE-70AC856E9867}">
  <sheetPr codeName="Sheet6">
    <tabColor theme="9" tint="0.79998168889431442"/>
  </sheetPr>
  <dimension ref="B2:AR127"/>
  <sheetViews>
    <sheetView showGridLines="0" zoomScale="84" workbookViewId="0">
      <selection activeCell="AE5" sqref="AE5:AF5"/>
    </sheetView>
  </sheetViews>
  <sheetFormatPr baseColWidth="10" defaultColWidth="11" defaultRowHeight="16"/>
  <cols>
    <col min="1" max="1" width="5.83203125" customWidth="1"/>
    <col min="2" max="2" width="19.1640625" hidden="1" customWidth="1"/>
    <col min="3" max="3" width="10.83203125" hidden="1" customWidth="1"/>
    <col min="4" max="5" width="11.5" hidden="1" customWidth="1"/>
    <col min="6" max="6" width="6.1640625" hidden="1" customWidth="1"/>
    <col min="7" max="7" width="3.6640625" customWidth="1"/>
    <col min="8" max="8" width="17.83203125" customWidth="1"/>
    <col min="9" max="9" width="5.83203125" hidden="1" customWidth="1"/>
    <col min="10" max="10" width="12.1640625" hidden="1" customWidth="1"/>
    <col min="11" max="11" width="10.83203125" hidden="1" customWidth="1"/>
    <col min="12" max="12" width="11.5" hidden="1" customWidth="1"/>
    <col min="13" max="13" width="10.83203125" customWidth="1"/>
    <col min="27" max="27" width="5.83203125" customWidth="1"/>
    <col min="28" max="28" width="1.83203125" style="159" customWidth="1"/>
    <col min="29" max="29" width="5.83203125" customWidth="1"/>
    <col min="30" max="30" width="5.6640625" hidden="1" customWidth="1"/>
    <col min="31" max="31" width="3.5" customWidth="1"/>
    <col min="32" max="32" width="14.33203125" customWidth="1"/>
    <col min="33" max="33" width="11" hidden="1" customWidth="1"/>
    <col min="34" max="34" width="10.83203125" hidden="1" customWidth="1"/>
    <col min="35" max="35" width="12.5" hidden="1" customWidth="1"/>
    <col min="36" max="36" width="10.83203125" hidden="1" customWidth="1"/>
  </cols>
  <sheetData>
    <row r="2" spans="2:44" ht="21">
      <c r="B2" s="17" t="s">
        <v>10</v>
      </c>
      <c r="C2" s="17" t="s">
        <v>11</v>
      </c>
      <c r="D2" s="17" t="s">
        <v>783</v>
      </c>
      <c r="G2" s="160" t="s">
        <v>784</v>
      </c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E2" s="165" t="s">
        <v>785</v>
      </c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</row>
    <row r="3" spans="2:44">
      <c r="B3" s="139" t="s">
        <v>122</v>
      </c>
      <c r="C3" s="145" t="s">
        <v>31</v>
      </c>
      <c r="D3" s="142" t="str">
        <f>IFERROR(AVERAGEIFS('Resale Market'!E:E,'Resale Market'!C:C,'Resale Market Consolidated'!B3,'Resale Market'!D:D,'Resale Market Consolidated'!C3),"-")</f>
        <v>-</v>
      </c>
      <c r="E3" s="137"/>
    </row>
    <row r="4" spans="2:44">
      <c r="B4" s="140" t="s">
        <v>122</v>
      </c>
      <c r="C4" s="140" t="s">
        <v>82</v>
      </c>
      <c r="D4" s="143">
        <f>IFERROR(AVERAGEIFS('Resale Market'!E:E,'Resale Market'!C:C,'Resale Market Consolidated'!B4,'Resale Market'!D:D,'Resale Market Consolidated'!C4),"-")</f>
        <v>401000</v>
      </c>
      <c r="E4" s="137"/>
      <c r="G4" s="162" t="s">
        <v>786</v>
      </c>
      <c r="H4" s="163"/>
      <c r="J4" s="181" t="s">
        <v>10</v>
      </c>
      <c r="K4" s="14" t="s">
        <v>11</v>
      </c>
      <c r="L4" s="14" t="s">
        <v>783</v>
      </c>
      <c r="AE4" s="166" t="s">
        <v>787</v>
      </c>
      <c r="AF4" s="167"/>
      <c r="AH4" s="17" t="s">
        <v>11</v>
      </c>
      <c r="AI4" s="17" t="s">
        <v>10</v>
      </c>
      <c r="AJ4" s="17" t="s">
        <v>783</v>
      </c>
    </row>
    <row r="5" spans="2:44" ht="19">
      <c r="B5" s="140" t="s">
        <v>122</v>
      </c>
      <c r="C5" s="140" t="s">
        <v>71</v>
      </c>
      <c r="D5" s="143">
        <f>IFERROR(AVERAGEIFS('Resale Market'!E:E,'Resale Market'!C:C,'Resale Market Consolidated'!B5,'Resale Market'!D:D,'Resale Market Consolidated'!C5),"-")</f>
        <v>600200</v>
      </c>
      <c r="E5" s="137"/>
      <c r="G5" s="200" t="s">
        <v>82</v>
      </c>
      <c r="H5" s="201"/>
      <c r="J5" t="str" cm="1">
        <f t="array" ref="J5:J10">_xlfn._xlws.FILTER(H9:H33,F8:F32=TRUE)</f>
        <v>SENGKANG</v>
      </c>
      <c r="K5" t="str">
        <f t="shared" ref="K5:K29" si="0">IF(J5="","",$G$5)</f>
        <v>3 ROOM</v>
      </c>
      <c r="L5" s="138" cm="1">
        <f t="array" ref="L5">IF(J5="","",INDEX($D:$D,_xlfn.XMATCH(J5&amp;K5,$B:$B&amp;$C:$C)))</f>
        <v>487500</v>
      </c>
      <c r="AE5" s="198" t="s">
        <v>238</v>
      </c>
      <c r="AF5" s="199"/>
      <c r="AH5" t="str" cm="1">
        <f t="array" ref="AH5:AH7">_xlfn._xlws.FILTER(AF9:AF13,AD8:AD12=TRUE)</f>
        <v>2 ROOM</v>
      </c>
      <c r="AI5" t="str">
        <f>IF(AH5="","",$AE$5)</f>
        <v>BUKIT MERAH</v>
      </c>
      <c r="AJ5" s="138" cm="1">
        <f t="array" ref="AJ5">IF(AH5="","",INDEX(D:D,_xlfn.XMATCH(AH5&amp;AI5,C:C&amp;B:B)))</f>
        <v>255000</v>
      </c>
    </row>
    <row r="6" spans="2:44">
      <c r="B6" s="140" t="s">
        <v>122</v>
      </c>
      <c r="C6" s="140" t="s">
        <v>14</v>
      </c>
      <c r="D6" s="143">
        <f>IFERROR(AVERAGEIFS('Resale Market'!E:E,'Resale Market'!C:C,'Resale Market Consolidated'!B6,'Resale Market'!D:D,'Resale Market Consolidated'!C6),"-")</f>
        <v>748888</v>
      </c>
      <c r="E6" s="137"/>
      <c r="G6" s="164" t="s">
        <v>15</v>
      </c>
      <c r="H6" s="163"/>
      <c r="J6" t="str">
        <v>SERANGOON</v>
      </c>
      <c r="K6" t="str">
        <f t="shared" si="0"/>
        <v>3 ROOM</v>
      </c>
      <c r="L6" s="138" cm="1">
        <f t="array" ref="L6">IF(J6="","",INDEX($D:$D,_xlfn.XMATCH(J6&amp;K6,$B:$B&amp;$C:$C)))</f>
        <v>420000</v>
      </c>
      <c r="AE6" s="168" t="s">
        <v>15</v>
      </c>
      <c r="AF6" s="167"/>
      <c r="AH6" t="str">
        <v>3 ROOM</v>
      </c>
      <c r="AI6" t="str">
        <f>IF(AH6="","",$AE$5)</f>
        <v>BUKIT MERAH</v>
      </c>
      <c r="AJ6" s="138" cm="1">
        <f t="array" ref="AJ6">IF(AH6="","",INDEX(D:D,_xlfn.XMATCH(AH6&amp;AI6,C:C&amp;B:B)))</f>
        <v>605833.33333333337</v>
      </c>
    </row>
    <row r="7" spans="2:44">
      <c r="B7" s="140" t="s">
        <v>122</v>
      </c>
      <c r="C7" s="146" t="s">
        <v>177</v>
      </c>
      <c r="D7" s="143" t="str">
        <f>IFERROR(AVERAGEIFS('Resale Market'!E:E,'Resale Market'!C:C,'Resale Market Consolidated'!B7,'Resale Market'!D:D,'Resale Market Consolidated'!C7),"-")</f>
        <v>-</v>
      </c>
      <c r="E7" s="137"/>
      <c r="G7" s="148"/>
      <c r="J7" t="str">
        <v>TAMPINES</v>
      </c>
      <c r="K7" t="str">
        <f t="shared" si="0"/>
        <v>3 ROOM</v>
      </c>
      <c r="L7" s="138" cm="1">
        <f t="array" ref="L7">IF(J7="","",INDEX($D:$D,_xlfn.XMATCH(J7&amp;K7,$B:$B&amp;$C:$C)))</f>
        <v>474682.28571428574</v>
      </c>
      <c r="AH7" t="str">
        <v>4 ROOM</v>
      </c>
      <c r="AI7" t="str">
        <f>IF(AH7="","",$AE$5)</f>
        <v>BUKIT MERAH</v>
      </c>
      <c r="AJ7" s="138" cm="1">
        <f t="array" ref="AJ7">IF(AH7="","",INDEX(D:D,_xlfn.XMATCH(AH7&amp;AI7,C:C&amp;B:B)))</f>
        <v>853375</v>
      </c>
    </row>
    <row r="8" spans="2:44">
      <c r="B8" s="140" t="s">
        <v>69</v>
      </c>
      <c r="C8" s="146" t="s">
        <v>31</v>
      </c>
      <c r="D8" s="143" t="str">
        <f>IFERROR(AVERAGEIFS('Resale Market'!E:E,'Resale Market'!C:C,'Resale Market Consolidated'!B8,'Resale Market'!D:D,'Resale Market Consolidated'!C8),"-")</f>
        <v>-</v>
      </c>
      <c r="E8" s="137"/>
      <c r="F8" t="b">
        <v>0</v>
      </c>
      <c r="G8" s="162" t="s">
        <v>788</v>
      </c>
      <c r="H8" s="162"/>
      <c r="J8" t="str">
        <v>TOA PAYOH</v>
      </c>
      <c r="K8" t="str">
        <f t="shared" si="0"/>
        <v>3 ROOM</v>
      </c>
      <c r="L8" s="138" cm="1">
        <f t="array" ref="L8">IF(J8="","",INDEX($D:$D,_xlfn.XMATCH(J8&amp;K8,$B:$B&amp;$C:$C)))</f>
        <v>372600</v>
      </c>
      <c r="AD8" t="b">
        <v>1</v>
      </c>
      <c r="AE8" s="166" t="s">
        <v>789</v>
      </c>
      <c r="AF8" s="166"/>
      <c r="AI8" t="str">
        <f>IF(AH8="","",$AE$5)</f>
        <v/>
      </c>
      <c r="AJ8" s="138" t="str" cm="1">
        <f t="array" ref="AJ8">IF(AH8="","",INDEX(D:D,_xlfn.XMATCH(AH8&amp;AI8,C:C&amp;B:B)))</f>
        <v/>
      </c>
    </row>
    <row r="9" spans="2:44">
      <c r="B9" s="140" t="s">
        <v>69</v>
      </c>
      <c r="C9" s="140" t="s">
        <v>82</v>
      </c>
      <c r="D9" s="143">
        <f>IFERROR(AVERAGEIFS('Resale Market'!E:E,'Resale Market'!C:C,'Resale Market Consolidated'!B9,'Resale Market'!D:D,'Resale Market Consolidated'!C9),"-")</f>
        <v>395160</v>
      </c>
      <c r="E9" s="137"/>
      <c r="F9" t="b">
        <v>0</v>
      </c>
      <c r="G9" s="161"/>
      <c r="H9" s="161" t="s">
        <v>122</v>
      </c>
      <c r="J9" t="str">
        <v>WOODLANDS</v>
      </c>
      <c r="K9" t="str">
        <f t="shared" si="0"/>
        <v>3 ROOM</v>
      </c>
      <c r="L9" s="138" cm="1">
        <f t="array" ref="L9">IF(J9="","",INDEX($D:$D,_xlfn.XMATCH(J9&amp;K9,$B:$B&amp;$C:$C)))</f>
        <v>376200</v>
      </c>
      <c r="AD9" t="b">
        <v>1</v>
      </c>
      <c r="AE9" s="158"/>
      <c r="AF9" s="169" t="s">
        <v>31</v>
      </c>
      <c r="AI9" t="str">
        <f>IF(AH9="","",$AE$5)</f>
        <v/>
      </c>
      <c r="AJ9" s="138" t="str" cm="1">
        <f t="array" ref="AJ9">IF(AH9="","",INDEX(D:D,_xlfn.XMATCH(AH9&amp;AI9,C:C&amp;B:B)))</f>
        <v/>
      </c>
    </row>
    <row r="10" spans="2:44">
      <c r="B10" s="140" t="s">
        <v>69</v>
      </c>
      <c r="C10" s="140" t="s">
        <v>71</v>
      </c>
      <c r="D10" s="143">
        <f>IFERROR(AVERAGEIFS('Resale Market'!E:E,'Resale Market'!C:C,'Resale Market Consolidated'!B10,'Resale Market'!D:D,'Resale Market Consolidated'!C10),"-")</f>
        <v>604419.5555555555</v>
      </c>
      <c r="E10" s="137"/>
      <c r="F10" t="b">
        <v>0</v>
      </c>
      <c r="G10" s="161"/>
      <c r="H10" s="161" t="s">
        <v>69</v>
      </c>
      <c r="J10" t="str">
        <v>YISHUN</v>
      </c>
      <c r="K10" t="str">
        <f t="shared" si="0"/>
        <v>3 ROOM</v>
      </c>
      <c r="L10" s="138" cm="1">
        <f t="array" ref="L10">IF(J10="","",INDEX($D:$D,_xlfn.XMATCH(J10&amp;K10,$B:$B&amp;$C:$C)))</f>
        <v>390428.57142857142</v>
      </c>
      <c r="AD10" t="b">
        <v>1</v>
      </c>
      <c r="AE10" s="158"/>
      <c r="AF10" s="158" t="s">
        <v>82</v>
      </c>
      <c r="AJ10" s="138" t="str" cm="1">
        <f t="array" ref="AJ10">IF(AH10="","",INDEX($D:$D,_xlfn.XMATCH(AH10&amp;AI10,$B:$B&amp;$C:$C)))</f>
        <v/>
      </c>
    </row>
    <row r="11" spans="2:44">
      <c r="B11" s="140" t="s">
        <v>69</v>
      </c>
      <c r="C11" s="140" t="s">
        <v>14</v>
      </c>
      <c r="D11" s="143">
        <f>IFERROR(AVERAGEIFS('Resale Market'!E:E,'Resale Market'!C:C,'Resale Market Consolidated'!B11,'Resale Market'!D:D,'Resale Market Consolidated'!C11),"-")</f>
        <v>802750</v>
      </c>
      <c r="E11" s="137"/>
      <c r="F11" t="b">
        <v>0</v>
      </c>
      <c r="G11" s="161"/>
      <c r="H11" s="161" t="s">
        <v>182</v>
      </c>
      <c r="K11" t="str">
        <f t="shared" si="0"/>
        <v/>
      </c>
      <c r="L11" s="138" t="str" cm="1">
        <f t="array" ref="L11">IF(J11="","",INDEX($D:$D,_xlfn.XMATCH(J11&amp;K11,$B:$B&amp;$C:$C)))</f>
        <v/>
      </c>
      <c r="AD11" t="b">
        <v>0</v>
      </c>
      <c r="AE11" s="158"/>
      <c r="AF11" s="158" t="s">
        <v>71</v>
      </c>
      <c r="AJ11" s="138" t="str" cm="1">
        <f t="array" ref="AJ11">IF(AH11="","",INDEX($D:$D,_xlfn.XMATCH(AH11&amp;AI11,$B:$B&amp;$C:$C)))</f>
        <v/>
      </c>
    </row>
    <row r="12" spans="2:44">
      <c r="B12" s="140" t="s">
        <v>69</v>
      </c>
      <c r="C12" s="146" t="s">
        <v>177</v>
      </c>
      <c r="D12" s="143">
        <f>IFERROR(AVERAGEIFS('Resale Market'!E:E,'Resale Market'!C:C,'Resale Market Consolidated'!B12,'Resale Market'!D:D,'Resale Market Consolidated'!C12),"-")</f>
        <v>949258.66666666663</v>
      </c>
      <c r="E12" s="137"/>
      <c r="F12" t="b">
        <v>0</v>
      </c>
      <c r="G12" s="161"/>
      <c r="H12" s="161" t="s">
        <v>199</v>
      </c>
      <c r="K12" t="str">
        <f t="shared" si="0"/>
        <v/>
      </c>
      <c r="L12" s="138" t="str" cm="1">
        <f t="array" ref="L12">IF(J12="","",INDEX($D:$D,_xlfn.XMATCH(J12&amp;K12,$B:$B&amp;$C:$C)))</f>
        <v/>
      </c>
      <c r="AD12" t="b">
        <v>0</v>
      </c>
      <c r="AE12" s="158"/>
      <c r="AF12" s="158" t="s">
        <v>14</v>
      </c>
      <c r="AJ12" s="138" t="str" cm="1">
        <f t="array" ref="AJ12">IF(AH12="","",INDEX($D:$D,_xlfn.XMATCH(AH12&amp;AI12,$B:$B&amp;$C:$C)))</f>
        <v/>
      </c>
    </row>
    <row r="13" spans="2:44">
      <c r="B13" s="140" t="s">
        <v>182</v>
      </c>
      <c r="C13" s="146" t="s">
        <v>31</v>
      </c>
      <c r="D13" s="143" t="str">
        <f>IFERROR(AVERAGEIFS('Resale Market'!E:E,'Resale Market'!C:C,'Resale Market Consolidated'!B13,'Resale Market'!D:D,'Resale Market Consolidated'!C13),"-")</f>
        <v>-</v>
      </c>
      <c r="E13" s="137"/>
      <c r="F13" t="b">
        <v>0</v>
      </c>
      <c r="G13" s="161"/>
      <c r="H13" s="161" t="s">
        <v>238</v>
      </c>
      <c r="K13" t="str">
        <f t="shared" si="0"/>
        <v/>
      </c>
      <c r="L13" s="138" t="str" cm="1">
        <f t="array" ref="L13">IF(J13="","",INDEX($D:$D,_xlfn.XMATCH(J13&amp;K13,$B:$B&amp;$C:$C)))</f>
        <v/>
      </c>
      <c r="AE13" s="158"/>
      <c r="AF13" s="169" t="s">
        <v>177</v>
      </c>
    </row>
    <row r="14" spans="2:44">
      <c r="B14" s="140" t="s">
        <v>182</v>
      </c>
      <c r="C14" s="140" t="s">
        <v>82</v>
      </c>
      <c r="D14" s="143">
        <f>IFERROR(AVERAGEIFS('Resale Market'!E:E,'Resale Market'!C:C,'Resale Market Consolidated'!B14,'Resale Market'!D:D,'Resale Market Consolidated'!C14),"-")</f>
        <v>480000</v>
      </c>
      <c r="E14" s="137"/>
      <c r="F14" t="b">
        <v>0</v>
      </c>
      <c r="G14" s="161"/>
      <c r="H14" s="161" t="s">
        <v>268</v>
      </c>
      <c r="K14" t="str">
        <f t="shared" si="0"/>
        <v/>
      </c>
      <c r="L14" s="138" t="str" cm="1">
        <f t="array" ref="L14">IF(J14="","",INDEX($D:$D,_xlfn.XMATCH(J14&amp;K14,$B:$B&amp;$C:$C)))</f>
        <v/>
      </c>
    </row>
    <row r="15" spans="2:44">
      <c r="B15" s="140" t="s">
        <v>182</v>
      </c>
      <c r="C15" s="140" t="s">
        <v>71</v>
      </c>
      <c r="D15" s="143">
        <f>IFERROR(AVERAGEIFS('Resale Market'!E:E,'Resale Market'!C:C,'Resale Market Consolidated'!B15,'Resale Market'!D:D,'Resale Market Consolidated'!C15),"-")</f>
        <v>722750</v>
      </c>
      <c r="E15" s="137"/>
      <c r="F15" t="b">
        <v>0</v>
      </c>
      <c r="G15" s="161"/>
      <c r="H15" s="161" t="s">
        <v>305</v>
      </c>
      <c r="K15" t="str">
        <f t="shared" si="0"/>
        <v/>
      </c>
      <c r="L15" s="138" t="str" cm="1">
        <f t="array" ref="L15">IF(J15="","",INDEX($D:$D,_xlfn.XMATCH(J15&amp;K15,$B:$B&amp;$C:$C)))</f>
        <v/>
      </c>
    </row>
    <row r="16" spans="2:44">
      <c r="B16" s="140" t="s">
        <v>182</v>
      </c>
      <c r="C16" s="140" t="s">
        <v>14</v>
      </c>
      <c r="D16" s="143">
        <f>IFERROR(AVERAGEIFS('Resale Market'!E:E,'Resale Market'!C:C,'Resale Market Consolidated'!B16,'Resale Market'!D:D,'Resale Market Consolidated'!C16),"-")</f>
        <v>958000</v>
      </c>
      <c r="E16" s="137"/>
      <c r="F16" t="b">
        <v>0</v>
      </c>
      <c r="G16" s="161"/>
      <c r="H16" s="161" t="s">
        <v>13</v>
      </c>
      <c r="K16" t="str">
        <f t="shared" si="0"/>
        <v/>
      </c>
      <c r="L16" s="138" t="str" cm="1">
        <f t="array" ref="L16">IF(J16="","",INDEX($D:$D,_xlfn.XMATCH(J16&amp;K16,$B:$B&amp;$C:$C)))</f>
        <v/>
      </c>
    </row>
    <row r="17" spans="2:12">
      <c r="B17" s="140" t="s">
        <v>182</v>
      </c>
      <c r="C17" s="146" t="s">
        <v>177</v>
      </c>
      <c r="D17" s="143">
        <f>IFERROR(AVERAGEIFS('Resale Market'!E:E,'Resale Market'!C:C,'Resale Market Consolidated'!B17,'Resale Market'!D:D,'Resale Market Consolidated'!C17),"-")</f>
        <v>1063888</v>
      </c>
      <c r="E17" s="137"/>
      <c r="F17" t="b">
        <v>0</v>
      </c>
      <c r="G17" s="161"/>
      <c r="H17" s="161" t="s">
        <v>350</v>
      </c>
      <c r="K17" t="str">
        <f t="shared" si="0"/>
        <v/>
      </c>
      <c r="L17" s="138" t="str" cm="1">
        <f t="array" ref="L17">IF(J17="","",INDEX($D:$D,_xlfn.XMATCH(J17&amp;K17,$B:$B&amp;$C:$C)))</f>
        <v/>
      </c>
    </row>
    <row r="18" spans="2:12">
      <c r="B18" s="140" t="s">
        <v>199</v>
      </c>
      <c r="C18" s="146" t="s">
        <v>31</v>
      </c>
      <c r="D18" s="143" t="str">
        <f>IFERROR(AVERAGEIFS('Resale Market'!E:E,'Resale Market'!C:C,'Resale Market Consolidated'!B18,'Resale Market'!D:D,'Resale Market Consolidated'!C18),"-")</f>
        <v>-</v>
      </c>
      <c r="E18" s="137"/>
      <c r="F18" t="b">
        <v>0</v>
      </c>
      <c r="G18" s="161"/>
      <c r="H18" s="161" t="s">
        <v>364</v>
      </c>
      <c r="K18" t="str">
        <f t="shared" si="0"/>
        <v/>
      </c>
      <c r="L18" s="138" t="str" cm="1">
        <f t="array" ref="L18">IF(J18="","",INDEX($D:$D,_xlfn.XMATCH(J18&amp;K18,$B:$B&amp;$C:$C)))</f>
        <v/>
      </c>
    </row>
    <row r="19" spans="2:12">
      <c r="B19" s="140" t="s">
        <v>199</v>
      </c>
      <c r="C19" s="140" t="s">
        <v>82</v>
      </c>
      <c r="D19" s="143">
        <f>IFERROR(AVERAGEIFS('Resale Market'!E:E,'Resale Market'!C:C,'Resale Market Consolidated'!B19,'Resale Market'!D:D,'Resale Market Consolidated'!C19),"-")</f>
        <v>402818.18181818182</v>
      </c>
      <c r="E19" s="137"/>
      <c r="F19" t="b">
        <v>0</v>
      </c>
      <c r="G19" s="161"/>
      <c r="H19" s="161" t="s">
        <v>30</v>
      </c>
      <c r="K19" t="str">
        <f t="shared" si="0"/>
        <v/>
      </c>
      <c r="L19" s="138" t="str" cm="1">
        <f t="array" ref="L19">IF(J19="","",INDEX($D:$D,_xlfn.XMATCH(J19&amp;K19,$B:$B&amp;$C:$C)))</f>
        <v/>
      </c>
    </row>
    <row r="20" spans="2:12">
      <c r="B20" s="140" t="s">
        <v>199</v>
      </c>
      <c r="C20" s="140" t="s">
        <v>71</v>
      </c>
      <c r="D20" s="143">
        <f>IFERROR(AVERAGEIFS('Resale Market'!E:E,'Resale Market'!C:C,'Resale Market Consolidated'!B20,'Resale Market'!D:D,'Resale Market Consolidated'!C20),"-")</f>
        <v>579642.85714285716</v>
      </c>
      <c r="E20" s="137"/>
      <c r="F20" t="b">
        <v>0</v>
      </c>
      <c r="G20" s="161"/>
      <c r="H20" s="161" t="s">
        <v>407</v>
      </c>
      <c r="K20" t="str">
        <f t="shared" si="0"/>
        <v/>
      </c>
      <c r="L20" s="138" t="str" cm="1">
        <f t="array" ref="L20">IF(J20="","",INDEX($D:$D,_xlfn.XMATCH(J20&amp;K20,$B:$B&amp;$C:$C)))</f>
        <v/>
      </c>
    </row>
    <row r="21" spans="2:12">
      <c r="B21" s="140" t="s">
        <v>199</v>
      </c>
      <c r="C21" s="140" t="s">
        <v>14</v>
      </c>
      <c r="D21" s="143">
        <f>IFERROR(AVERAGEIFS('Resale Market'!E:E,'Resale Market'!C:C,'Resale Market Consolidated'!B21,'Resale Market'!D:D,'Resale Market Consolidated'!C21),"-")</f>
        <v>736722</v>
      </c>
      <c r="E21" s="137"/>
      <c r="F21" t="b">
        <v>0</v>
      </c>
      <c r="G21" s="161"/>
      <c r="H21" s="161" t="s">
        <v>425</v>
      </c>
      <c r="K21" t="str">
        <f t="shared" si="0"/>
        <v/>
      </c>
      <c r="L21" s="138" t="str" cm="1">
        <f t="array" ref="L21">IF(J21="","",INDEX($D:$D,_xlfn.XMATCH(J21&amp;K21,$B:$B&amp;$C:$C)))</f>
        <v/>
      </c>
    </row>
    <row r="22" spans="2:12">
      <c r="B22" s="140" t="s">
        <v>199</v>
      </c>
      <c r="C22" s="146" t="s">
        <v>177</v>
      </c>
      <c r="D22" s="143" t="str">
        <f>IFERROR(AVERAGEIFS('Resale Market'!E:E,'Resale Market'!C:C,'Resale Market Consolidated'!B22,'Resale Market'!D:D,'Resale Market Consolidated'!C22),"-")</f>
        <v>-</v>
      </c>
      <c r="E22" s="137"/>
      <c r="F22" t="b">
        <v>0</v>
      </c>
      <c r="G22" s="161"/>
      <c r="H22" s="161" t="s">
        <v>477</v>
      </c>
      <c r="K22" t="str">
        <f t="shared" si="0"/>
        <v/>
      </c>
      <c r="L22" s="138" t="str" cm="1">
        <f t="array" ref="L22">IF(J22="","",INDEX($D:$D,_xlfn.XMATCH(J22&amp;K22,$B:$B&amp;$C:$C)))</f>
        <v/>
      </c>
    </row>
    <row r="23" spans="2:12">
      <c r="B23" s="140" t="s">
        <v>238</v>
      </c>
      <c r="C23" s="146" t="s">
        <v>31</v>
      </c>
      <c r="D23" s="143">
        <f>IFERROR(AVERAGEIFS('Resale Market'!E:E,'Resale Market'!C:C,'Resale Market Consolidated'!B23,'Resale Market'!D:D,'Resale Market Consolidated'!C23),"-")</f>
        <v>255000</v>
      </c>
      <c r="E23" s="137"/>
      <c r="F23" t="b">
        <v>0</v>
      </c>
      <c r="G23" s="161"/>
      <c r="H23" s="161" t="s">
        <v>489</v>
      </c>
      <c r="K23" t="str">
        <f t="shared" si="0"/>
        <v/>
      </c>
      <c r="L23" s="138" t="str" cm="1">
        <f t="array" ref="L23">IF(J23="","",INDEX($D:$D,_xlfn.XMATCH(J23&amp;K23,$B:$B&amp;$C:$C)))</f>
        <v/>
      </c>
    </row>
    <row r="24" spans="2:12">
      <c r="B24" s="140" t="s">
        <v>238</v>
      </c>
      <c r="C24" s="140" t="s">
        <v>82</v>
      </c>
      <c r="D24" s="143">
        <f>IFERROR(AVERAGEIFS('Resale Market'!E:E,'Resale Market'!C:C,'Resale Market Consolidated'!B24,'Resale Market'!D:D,'Resale Market Consolidated'!C24),"-")</f>
        <v>605833.33333333337</v>
      </c>
      <c r="E24" s="137"/>
      <c r="F24" t="b">
        <v>0</v>
      </c>
      <c r="G24" s="161"/>
      <c r="H24" s="161" t="s">
        <v>497</v>
      </c>
      <c r="K24" t="str">
        <f t="shared" si="0"/>
        <v/>
      </c>
      <c r="L24" s="138" t="str" cm="1">
        <f t="array" ref="L24">IF(J24="","",INDEX($D:$D,_xlfn.XMATCH(J24&amp;K24,$B:$B&amp;$C:$C)))</f>
        <v/>
      </c>
    </row>
    <row r="25" spans="2:12">
      <c r="B25" s="140" t="s">
        <v>238</v>
      </c>
      <c r="C25" s="140" t="s">
        <v>71</v>
      </c>
      <c r="D25" s="143">
        <f>IFERROR(AVERAGEIFS('Resale Market'!E:E,'Resale Market'!C:C,'Resale Market Consolidated'!B25,'Resale Market'!D:D,'Resale Market Consolidated'!C25),"-")</f>
        <v>853375</v>
      </c>
      <c r="E25" s="137"/>
      <c r="F25" t="b">
        <v>0</v>
      </c>
      <c r="G25" s="161"/>
      <c r="H25" s="161" t="s">
        <v>92</v>
      </c>
      <c r="K25" t="str">
        <f t="shared" si="0"/>
        <v/>
      </c>
      <c r="L25" s="138" t="str" cm="1">
        <f t="array" ref="L25">IF(J25="","",INDEX($D:$D,_xlfn.XMATCH(J25&amp;K25,$B:$B&amp;$C:$C)))</f>
        <v/>
      </c>
    </row>
    <row r="26" spans="2:12">
      <c r="B26" s="140" t="s">
        <v>238</v>
      </c>
      <c r="C26" s="140" t="s">
        <v>14</v>
      </c>
      <c r="D26" s="143">
        <f>IFERROR(AVERAGEIFS('Resale Market'!E:E,'Resale Market'!C:C,'Resale Market Consolidated'!B26,'Resale Market'!D:D,'Resale Market Consolidated'!C26),"-")</f>
        <v>951377.6</v>
      </c>
      <c r="E26" s="137"/>
      <c r="F26" t="b">
        <v>0</v>
      </c>
      <c r="G26" s="161"/>
      <c r="H26" s="161" t="s">
        <v>102</v>
      </c>
      <c r="K26" t="str">
        <f t="shared" si="0"/>
        <v/>
      </c>
      <c r="L26" s="138" t="str" cm="1">
        <f t="array" ref="L26">IF(J26="","",INDEX($D:$D,_xlfn.XMATCH(J26&amp;K26,$B:$B&amp;$C:$C)))</f>
        <v/>
      </c>
    </row>
    <row r="27" spans="2:12">
      <c r="B27" s="140" t="s">
        <v>238</v>
      </c>
      <c r="C27" s="146" t="s">
        <v>177</v>
      </c>
      <c r="D27" s="143" t="str">
        <f>IFERROR(AVERAGEIFS('Resale Market'!E:E,'Resale Market'!C:C,'Resale Market Consolidated'!B27,'Resale Market'!D:D,'Resale Market Consolidated'!C27),"-")</f>
        <v>-</v>
      </c>
      <c r="E27" s="137"/>
      <c r="F27" t="b">
        <v>1</v>
      </c>
      <c r="G27" s="161"/>
      <c r="H27" s="161" t="s">
        <v>566</v>
      </c>
      <c r="K27" t="str">
        <f t="shared" si="0"/>
        <v/>
      </c>
      <c r="L27" s="138" t="str" cm="1">
        <f t="array" ref="L27">IF(J27="","",INDEX($D:$D,_xlfn.XMATCH(J27&amp;K27,$B:$B&amp;$C:$C)))</f>
        <v/>
      </c>
    </row>
    <row r="28" spans="2:12">
      <c r="B28" s="140" t="s">
        <v>268</v>
      </c>
      <c r="C28" s="146" t="s">
        <v>31</v>
      </c>
      <c r="D28" s="143" t="str">
        <f>IFERROR(AVERAGEIFS('Resale Market'!E:E,'Resale Market'!C:C,'Resale Market Consolidated'!B28,'Resale Market'!D:D,'Resale Market Consolidated'!C28),"-")</f>
        <v>-</v>
      </c>
      <c r="E28" s="137"/>
      <c r="F28" t="b">
        <v>1</v>
      </c>
      <c r="G28" s="161"/>
      <c r="H28" s="161" t="s">
        <v>587</v>
      </c>
      <c r="K28" t="str">
        <f t="shared" si="0"/>
        <v/>
      </c>
      <c r="L28" s="138" t="str" cm="1">
        <f t="array" ref="L28">IF(J28="","",INDEX($D:$D,_xlfn.XMATCH(J28&amp;K28,$B:$B&amp;$C:$C)))</f>
        <v/>
      </c>
    </row>
    <row r="29" spans="2:12">
      <c r="B29" s="140" t="s">
        <v>268</v>
      </c>
      <c r="C29" s="140" t="s">
        <v>82</v>
      </c>
      <c r="D29" s="143">
        <f>IFERROR(AVERAGEIFS('Resale Market'!E:E,'Resale Market'!C:C,'Resale Market Consolidated'!B29,'Resale Market'!D:D,'Resale Market Consolidated'!C29),"-")</f>
        <v>409000</v>
      </c>
      <c r="E29" s="137"/>
      <c r="F29" t="b">
        <v>1</v>
      </c>
      <c r="G29" s="161"/>
      <c r="H29" s="161" t="s">
        <v>628</v>
      </c>
      <c r="K29" t="str">
        <f t="shared" si="0"/>
        <v/>
      </c>
      <c r="L29" s="138" t="str" cm="1">
        <f t="array" ref="L29">IF(J29="","",INDEX($D:$D,_xlfn.XMATCH(J29&amp;K29,$B:$B&amp;$C:$C)))</f>
        <v/>
      </c>
    </row>
    <row r="30" spans="2:12">
      <c r="B30" s="140" t="s">
        <v>268</v>
      </c>
      <c r="C30" s="140" t="s">
        <v>71</v>
      </c>
      <c r="D30" s="143">
        <f>IFERROR(AVERAGEIFS('Resale Market'!E:E,'Resale Market'!C:C,'Resale Market Consolidated'!B30,'Resale Market'!D:D,'Resale Market Consolidated'!C30),"-")</f>
        <v>513097</v>
      </c>
      <c r="E30" s="137"/>
      <c r="F30" t="b">
        <v>1</v>
      </c>
      <c r="G30" s="161"/>
      <c r="H30" s="161" t="s">
        <v>637</v>
      </c>
    </row>
    <row r="31" spans="2:12">
      <c r="B31" s="140" t="s">
        <v>268</v>
      </c>
      <c r="C31" s="140" t="s">
        <v>14</v>
      </c>
      <c r="D31" s="143">
        <f>IFERROR(AVERAGEIFS('Resale Market'!E:E,'Resale Market'!C:C,'Resale Market Consolidated'!B31,'Resale Market'!D:D,'Resale Market Consolidated'!C31),"-")</f>
        <v>588833.33333333337</v>
      </c>
      <c r="E31" s="137"/>
      <c r="F31" t="b">
        <v>1</v>
      </c>
      <c r="G31" s="161"/>
      <c r="H31" s="161" t="s">
        <v>673</v>
      </c>
    </row>
    <row r="32" spans="2:12">
      <c r="B32" s="140" t="s">
        <v>268</v>
      </c>
      <c r="C32" s="146" t="s">
        <v>177</v>
      </c>
      <c r="D32" s="143">
        <f>IFERROR(AVERAGEIFS('Resale Market'!E:E,'Resale Market'!C:C,'Resale Market Consolidated'!B32,'Resale Market'!D:D,'Resale Market Consolidated'!C32),"-")</f>
        <v>816000</v>
      </c>
      <c r="E32" s="137"/>
      <c r="F32" t="b">
        <v>1</v>
      </c>
      <c r="G32" s="161"/>
      <c r="H32" s="161" t="s">
        <v>107</v>
      </c>
    </row>
    <row r="33" spans="2:8">
      <c r="B33" s="140" t="s">
        <v>305</v>
      </c>
      <c r="C33" s="146" t="s">
        <v>31</v>
      </c>
      <c r="D33" s="143" t="str">
        <f>IFERROR(AVERAGEIFS('Resale Market'!E:E,'Resale Market'!C:C,'Resale Market Consolidated'!B33,'Resale Market'!D:D,'Resale Market Consolidated'!C33),"-")</f>
        <v>-</v>
      </c>
      <c r="E33" s="137"/>
      <c r="G33" s="161"/>
      <c r="H33" s="161" t="s">
        <v>741</v>
      </c>
    </row>
    <row r="34" spans="2:8">
      <c r="B34" s="140" t="s">
        <v>305</v>
      </c>
      <c r="C34" s="140" t="s">
        <v>82</v>
      </c>
      <c r="D34" s="143" t="str">
        <f>IFERROR(AVERAGEIFS('Resale Market'!E:E,'Resale Market'!C:C,'Resale Market Consolidated'!B34,'Resale Market'!D:D,'Resale Market Consolidated'!C34),"-")</f>
        <v>-</v>
      </c>
      <c r="E34" s="137"/>
    </row>
    <row r="35" spans="2:8">
      <c r="B35" s="140" t="s">
        <v>305</v>
      </c>
      <c r="C35" s="140" t="s">
        <v>71</v>
      </c>
      <c r="D35" s="143">
        <f>IFERROR(AVERAGEIFS('Resale Market'!E:E,'Resale Market'!C:C,'Resale Market Consolidated'!B35,'Resale Market'!D:D,'Resale Market Consolidated'!C35),"-")</f>
        <v>620000</v>
      </c>
      <c r="E35" s="137"/>
    </row>
    <row r="36" spans="2:8">
      <c r="B36" s="140" t="s">
        <v>305</v>
      </c>
      <c r="C36" s="140" t="s">
        <v>14</v>
      </c>
      <c r="D36" s="143" t="str">
        <f>IFERROR(AVERAGEIFS('Resale Market'!E:E,'Resale Market'!C:C,'Resale Market Consolidated'!B36,'Resale Market'!D:D,'Resale Market Consolidated'!C36),"-")</f>
        <v>-</v>
      </c>
      <c r="E36" s="137"/>
    </row>
    <row r="37" spans="2:8">
      <c r="B37" s="140" t="s">
        <v>305</v>
      </c>
      <c r="C37" s="146" t="s">
        <v>177</v>
      </c>
      <c r="D37" s="143" t="str">
        <f>IFERROR(AVERAGEIFS('Resale Market'!E:E,'Resale Market'!C:C,'Resale Market Consolidated'!B37,'Resale Market'!D:D,'Resale Market Consolidated'!C37),"-")</f>
        <v>-</v>
      </c>
      <c r="E37" s="137"/>
    </row>
    <row r="38" spans="2:8">
      <c r="B38" s="140" t="s">
        <v>13</v>
      </c>
      <c r="C38" s="146" t="s">
        <v>31</v>
      </c>
      <c r="D38" s="143">
        <f>IFERROR(AVERAGEIFS('Resale Market'!E:E,'Resale Market'!C:C,'Resale Market Consolidated'!B38,'Resale Market'!D:D,'Resale Market Consolidated'!C38),"-")</f>
        <v>320000</v>
      </c>
      <c r="E38" s="137"/>
    </row>
    <row r="39" spans="2:8">
      <c r="B39" s="140" t="s">
        <v>13</v>
      </c>
      <c r="C39" s="140" t="s">
        <v>82</v>
      </c>
      <c r="D39" s="143" t="str">
        <f>IFERROR(AVERAGEIFS('Resale Market'!E:E,'Resale Market'!C:C,'Resale Market Consolidated'!B39,'Resale Market'!D:D,'Resale Market Consolidated'!C39),"-")</f>
        <v>-</v>
      </c>
      <c r="E39" s="137"/>
    </row>
    <row r="40" spans="2:8">
      <c r="B40" s="140" t="s">
        <v>13</v>
      </c>
      <c r="C40" s="140" t="s">
        <v>71</v>
      </c>
      <c r="D40" s="143">
        <f>IFERROR(AVERAGEIFS('Resale Market'!E:E,'Resale Market'!C:C,'Resale Market Consolidated'!B40,'Resale Market'!D:D,'Resale Market Consolidated'!C40),"-")</f>
        <v>523400</v>
      </c>
      <c r="E40" s="137"/>
    </row>
    <row r="41" spans="2:8">
      <c r="B41" s="140" t="s">
        <v>13</v>
      </c>
      <c r="C41" s="140" t="s">
        <v>14</v>
      </c>
      <c r="D41" s="143">
        <f>IFERROR(AVERAGEIFS('Resale Market'!E:E,'Resale Market'!C:C,'Resale Market Consolidated'!B41,'Resale Market'!D:D,'Resale Market Consolidated'!C41),"-")</f>
        <v>616008.4444444445</v>
      </c>
      <c r="E41" s="137"/>
    </row>
    <row r="42" spans="2:8">
      <c r="B42" s="140" t="s">
        <v>13</v>
      </c>
      <c r="C42" s="146" t="s">
        <v>177</v>
      </c>
      <c r="D42" s="143">
        <f>IFERROR(AVERAGEIFS('Resale Market'!E:E,'Resale Market'!C:C,'Resale Market Consolidated'!B42,'Resale Market'!D:D,'Resale Market Consolidated'!C42),"-")</f>
        <v>807666.66666666663</v>
      </c>
      <c r="E42" s="137"/>
    </row>
    <row r="43" spans="2:8">
      <c r="B43" s="140" t="s">
        <v>350</v>
      </c>
      <c r="C43" s="146" t="s">
        <v>31</v>
      </c>
      <c r="D43" s="143" t="str">
        <f>IFERROR(AVERAGEIFS('Resale Market'!E:E,'Resale Market'!C:C,'Resale Market Consolidated'!B43,'Resale Market'!D:D,'Resale Market Consolidated'!C43),"-")</f>
        <v>-</v>
      </c>
      <c r="E43" s="137"/>
    </row>
    <row r="44" spans="2:8">
      <c r="B44" s="140" t="s">
        <v>350</v>
      </c>
      <c r="C44" s="140" t="s">
        <v>82</v>
      </c>
      <c r="D44" s="143">
        <f>IFERROR(AVERAGEIFS('Resale Market'!E:E,'Resale Market'!C:C,'Resale Market Consolidated'!B44,'Resale Market'!D:D,'Resale Market Consolidated'!C44),"-")</f>
        <v>454600</v>
      </c>
      <c r="E44" s="137"/>
    </row>
    <row r="45" spans="2:8">
      <c r="B45" s="140" t="s">
        <v>350</v>
      </c>
      <c r="C45" s="140" t="s">
        <v>71</v>
      </c>
      <c r="D45" s="143">
        <f>IFERROR(AVERAGEIFS('Resale Market'!E:E,'Resale Market'!C:C,'Resale Market Consolidated'!B45,'Resale Market'!D:D,'Resale Market Consolidated'!C45),"-")</f>
        <v>500000</v>
      </c>
      <c r="E45" s="137"/>
    </row>
    <row r="46" spans="2:8">
      <c r="B46" s="140" t="s">
        <v>350</v>
      </c>
      <c r="C46" s="140" t="s">
        <v>14</v>
      </c>
      <c r="D46" s="143">
        <f>IFERROR(AVERAGEIFS('Resale Market'!E:E,'Resale Market'!C:C,'Resale Market Consolidated'!B46,'Resale Market'!D:D,'Resale Market Consolidated'!C46),"-")</f>
        <v>850000</v>
      </c>
      <c r="E46" s="137"/>
    </row>
    <row r="47" spans="2:8">
      <c r="B47" s="140" t="s">
        <v>350</v>
      </c>
      <c r="C47" s="146" t="s">
        <v>177</v>
      </c>
      <c r="D47" s="143" t="str">
        <f>IFERROR(AVERAGEIFS('Resale Market'!E:E,'Resale Market'!C:C,'Resale Market Consolidated'!B47,'Resale Market'!D:D,'Resale Market Consolidated'!C47),"-")</f>
        <v>-</v>
      </c>
      <c r="E47" s="137"/>
    </row>
    <row r="48" spans="2:8">
      <c r="B48" s="140" t="s">
        <v>364</v>
      </c>
      <c r="C48" s="146" t="s">
        <v>31</v>
      </c>
      <c r="D48" s="143" t="str">
        <f>IFERROR(AVERAGEIFS('Resale Market'!E:E,'Resale Market'!C:C,'Resale Market Consolidated'!B48,'Resale Market'!D:D,'Resale Market Consolidated'!C48),"-")</f>
        <v>-</v>
      </c>
      <c r="E48" s="137"/>
    </row>
    <row r="49" spans="2:5">
      <c r="B49" s="140" t="s">
        <v>364</v>
      </c>
      <c r="C49" s="140" t="s">
        <v>82</v>
      </c>
      <c r="D49" s="143">
        <f>IFERROR(AVERAGEIFS('Resale Market'!E:E,'Resale Market'!C:C,'Resale Market Consolidated'!B49,'Resale Market'!D:D,'Resale Market Consolidated'!C49),"-")</f>
        <v>380888</v>
      </c>
      <c r="E49" s="137"/>
    </row>
    <row r="50" spans="2:5">
      <c r="B50" s="140" t="s">
        <v>364</v>
      </c>
      <c r="C50" s="140" t="s">
        <v>71</v>
      </c>
      <c r="D50" s="143">
        <f>IFERROR(AVERAGEIFS('Resale Market'!E:E,'Resale Market'!C:C,'Resale Market Consolidated'!B50,'Resale Market'!D:D,'Resale Market Consolidated'!C50),"-")</f>
        <v>594500</v>
      </c>
      <c r="E50" s="137"/>
    </row>
    <row r="51" spans="2:5">
      <c r="B51" s="140" t="s">
        <v>364</v>
      </c>
      <c r="C51" s="140" t="s">
        <v>14</v>
      </c>
      <c r="D51" s="143">
        <f>IFERROR(AVERAGEIFS('Resale Market'!E:E,'Resale Market'!C:C,'Resale Market Consolidated'!B51,'Resale Market'!D:D,'Resale Market Consolidated'!C51),"-")</f>
        <v>905000</v>
      </c>
      <c r="E51" s="137"/>
    </row>
    <row r="52" spans="2:5">
      <c r="B52" s="140" t="s">
        <v>364</v>
      </c>
      <c r="C52" s="146" t="s">
        <v>177</v>
      </c>
      <c r="D52" s="143" t="str">
        <f>IFERROR(AVERAGEIFS('Resale Market'!E:E,'Resale Market'!C:C,'Resale Market Consolidated'!B52,'Resale Market'!D:D,'Resale Market Consolidated'!C52),"-")</f>
        <v>-</v>
      </c>
      <c r="E52" s="137"/>
    </row>
    <row r="53" spans="2:5">
      <c r="B53" s="140" t="s">
        <v>30</v>
      </c>
      <c r="C53" s="146" t="s">
        <v>31</v>
      </c>
      <c r="D53" s="143">
        <f>IFERROR(AVERAGEIFS('Resale Market'!E:E,'Resale Market'!C:C,'Resale Market Consolidated'!B53,'Resale Market'!D:D,'Resale Market Consolidated'!C53),"-")</f>
        <v>344000</v>
      </c>
      <c r="E53" s="137"/>
    </row>
    <row r="54" spans="2:5">
      <c r="B54" s="140" t="s">
        <v>30</v>
      </c>
      <c r="C54" s="140" t="s">
        <v>82</v>
      </c>
      <c r="D54" s="143">
        <f>IFERROR(AVERAGEIFS('Resale Market'!E:E,'Resale Market'!C:C,'Resale Market Consolidated'!B54,'Resale Market'!D:D,'Resale Market Consolidated'!C54),"-")</f>
        <v>408000</v>
      </c>
      <c r="E54" s="137"/>
    </row>
    <row r="55" spans="2:5">
      <c r="B55" s="140" t="s">
        <v>30</v>
      </c>
      <c r="C55" s="140" t="s">
        <v>71</v>
      </c>
      <c r="D55" s="143">
        <f>IFERROR(AVERAGEIFS('Resale Market'!E:E,'Resale Market'!C:C,'Resale Market Consolidated'!B55,'Resale Market'!D:D,'Resale Market Consolidated'!C55),"-")</f>
        <v>561833.33333333337</v>
      </c>
      <c r="E55" s="137"/>
    </row>
    <row r="56" spans="2:5">
      <c r="B56" s="140" t="s">
        <v>30</v>
      </c>
      <c r="C56" s="140" t="s">
        <v>14</v>
      </c>
      <c r="D56" s="143">
        <f>IFERROR(AVERAGEIFS('Resale Market'!E:E,'Resale Market'!C:C,'Resale Market Consolidated'!B56,'Resale Market'!D:D,'Resale Market Consolidated'!C56),"-")</f>
        <v>784129.33333333337</v>
      </c>
      <c r="E56" s="137"/>
    </row>
    <row r="57" spans="2:5">
      <c r="B57" s="140" t="s">
        <v>30</v>
      </c>
      <c r="C57" s="146" t="s">
        <v>177</v>
      </c>
      <c r="D57" s="143">
        <f>IFERROR(AVERAGEIFS('Resale Market'!E:E,'Resale Market'!C:C,'Resale Market Consolidated'!B57,'Resale Market'!D:D,'Resale Market Consolidated'!C57),"-")</f>
        <v>919000</v>
      </c>
      <c r="E57" s="137"/>
    </row>
    <row r="58" spans="2:5">
      <c r="B58" s="140" t="s">
        <v>407</v>
      </c>
      <c r="C58" s="146" t="s">
        <v>31</v>
      </c>
      <c r="D58" s="143" t="str">
        <f>IFERROR(AVERAGEIFS('Resale Market'!E:E,'Resale Market'!C:C,'Resale Market Consolidated'!B58,'Resale Market'!D:D,'Resale Market Consolidated'!C58),"-")</f>
        <v>-</v>
      </c>
      <c r="E58" s="137"/>
    </row>
    <row r="59" spans="2:5">
      <c r="B59" s="140" t="s">
        <v>407</v>
      </c>
      <c r="C59" s="140" t="s">
        <v>82</v>
      </c>
      <c r="D59" s="143">
        <f>IFERROR(AVERAGEIFS('Resale Market'!E:E,'Resale Market'!C:C,'Resale Market Consolidated'!B59,'Resale Market'!D:D,'Resale Market Consolidated'!C59),"-")</f>
        <v>370400</v>
      </c>
      <c r="E59" s="137"/>
    </row>
    <row r="60" spans="2:5">
      <c r="B60" s="140" t="s">
        <v>407</v>
      </c>
      <c r="C60" s="140" t="s">
        <v>71</v>
      </c>
      <c r="D60" s="143">
        <f>IFERROR(AVERAGEIFS('Resale Market'!E:E,'Resale Market'!C:C,'Resale Market Consolidated'!B60,'Resale Market'!D:D,'Resale Market Consolidated'!C60),"-")</f>
        <v>473800</v>
      </c>
      <c r="E60" s="137"/>
    </row>
    <row r="61" spans="2:5">
      <c r="B61" s="140" t="s">
        <v>407</v>
      </c>
      <c r="C61" s="140" t="s">
        <v>14</v>
      </c>
      <c r="D61" s="143">
        <f>IFERROR(AVERAGEIFS('Resale Market'!E:E,'Resale Market'!C:C,'Resale Market Consolidated'!B61,'Resale Market'!D:D,'Resale Market Consolidated'!C61),"-")</f>
        <v>705000</v>
      </c>
      <c r="E61" s="137"/>
    </row>
    <row r="62" spans="2:5">
      <c r="B62" s="140" t="s">
        <v>407</v>
      </c>
      <c r="C62" s="146" t="s">
        <v>177</v>
      </c>
      <c r="D62" s="143" t="str">
        <f>IFERROR(AVERAGEIFS('Resale Market'!E:E,'Resale Market'!C:C,'Resale Market Consolidated'!B62,'Resale Market'!D:D,'Resale Market Consolidated'!C62),"-")</f>
        <v>-</v>
      </c>
      <c r="E62" s="137"/>
    </row>
    <row r="63" spans="2:5">
      <c r="B63" s="140" t="s">
        <v>425</v>
      </c>
      <c r="C63" s="146" t="s">
        <v>31</v>
      </c>
      <c r="D63" s="143">
        <f>IFERROR(AVERAGEIFS('Resale Market'!E:E,'Resale Market'!C:C,'Resale Market Consolidated'!B63,'Resale Market'!D:D,'Resale Market Consolidated'!C63),"-")</f>
        <v>312500</v>
      </c>
      <c r="E63" s="137"/>
    </row>
    <row r="64" spans="2:5">
      <c r="B64" s="140" t="s">
        <v>425</v>
      </c>
      <c r="C64" s="140" t="s">
        <v>82</v>
      </c>
      <c r="D64" s="143">
        <f>IFERROR(AVERAGEIFS('Resale Market'!E:E,'Resale Market'!C:C,'Resale Market Consolidated'!B64,'Resale Market'!D:D,'Resale Market Consolidated'!C64),"-")</f>
        <v>379861</v>
      </c>
      <c r="E64" s="137"/>
    </row>
    <row r="65" spans="2:5">
      <c r="B65" s="140" t="s">
        <v>425</v>
      </c>
      <c r="C65" s="140" t="s">
        <v>71</v>
      </c>
      <c r="D65" s="143">
        <f>IFERROR(AVERAGEIFS('Resale Market'!E:E,'Resale Market'!C:C,'Resale Market Consolidated'!B65,'Resale Market'!D:D,'Resale Market Consolidated'!C65),"-")</f>
        <v>530982.76923076925</v>
      </c>
      <c r="E65" s="137"/>
    </row>
    <row r="66" spans="2:5">
      <c r="B66" s="140" t="s">
        <v>425</v>
      </c>
      <c r="C66" s="140" t="s">
        <v>14</v>
      </c>
      <c r="D66" s="143">
        <f>IFERROR(AVERAGEIFS('Resale Market'!E:E,'Resale Market'!C:C,'Resale Market Consolidated'!B66,'Resale Market'!D:D,'Resale Market Consolidated'!C66),"-")</f>
        <v>587714.28571428568</v>
      </c>
      <c r="E66" s="137"/>
    </row>
    <row r="67" spans="2:5">
      <c r="B67" s="140" t="s">
        <v>425</v>
      </c>
      <c r="C67" s="146" t="s">
        <v>177</v>
      </c>
      <c r="D67" s="143">
        <f>IFERROR(AVERAGEIFS('Resale Market'!E:E,'Resale Market'!C:C,'Resale Market Consolidated'!B67,'Resale Market'!D:D,'Resale Market Consolidated'!C67),"-")</f>
        <v>716250</v>
      </c>
      <c r="E67" s="137"/>
    </row>
    <row r="68" spans="2:5">
      <c r="B68" s="140" t="s">
        <v>477</v>
      </c>
      <c r="C68" s="146" t="s">
        <v>31</v>
      </c>
      <c r="D68" s="143" t="str">
        <f>IFERROR(AVERAGEIFS('Resale Market'!E:E,'Resale Market'!C:C,'Resale Market Consolidated'!B68,'Resale Market'!D:D,'Resale Market Consolidated'!C68),"-")</f>
        <v>-</v>
      </c>
      <c r="E68" s="137"/>
    </row>
    <row r="69" spans="2:5">
      <c r="B69" s="140" t="s">
        <v>477</v>
      </c>
      <c r="C69" s="140" t="s">
        <v>82</v>
      </c>
      <c r="D69" s="143">
        <f>IFERROR(AVERAGEIFS('Resale Market'!E:E,'Resale Market'!C:C,'Resale Market Consolidated'!B69,'Resale Market'!D:D,'Resale Market Consolidated'!C69),"-")</f>
        <v>398000</v>
      </c>
      <c r="E69" s="137"/>
    </row>
    <row r="70" spans="2:5">
      <c r="B70" s="140" t="s">
        <v>477</v>
      </c>
      <c r="C70" s="140" t="s">
        <v>71</v>
      </c>
      <c r="D70" s="143">
        <f>IFERROR(AVERAGEIFS('Resale Market'!E:E,'Resale Market'!C:C,'Resale Market Consolidated'!B70,'Resale Market'!D:D,'Resale Market Consolidated'!C70),"-")</f>
        <v>786933.33333333337</v>
      </c>
      <c r="E70" s="137"/>
    </row>
    <row r="71" spans="2:5">
      <c r="B71" s="140" t="s">
        <v>477</v>
      </c>
      <c r="C71" s="140" t="s">
        <v>14</v>
      </c>
      <c r="D71" s="143">
        <f>IFERROR(AVERAGEIFS('Resale Market'!E:E,'Resale Market'!C:C,'Resale Market Consolidated'!B71,'Resale Market'!D:D,'Resale Market Consolidated'!C71),"-")</f>
        <v>1020000</v>
      </c>
      <c r="E71" s="137"/>
    </row>
    <row r="72" spans="2:5">
      <c r="B72" s="140" t="s">
        <v>477</v>
      </c>
      <c r="C72" s="146" t="s">
        <v>177</v>
      </c>
      <c r="D72" s="143" t="str">
        <f>IFERROR(AVERAGEIFS('Resale Market'!E:E,'Resale Market'!C:C,'Resale Market Consolidated'!B72,'Resale Market'!D:D,'Resale Market Consolidated'!C72),"-")</f>
        <v>-</v>
      </c>
      <c r="E72" s="137"/>
    </row>
    <row r="73" spans="2:5">
      <c r="B73" s="140" t="s">
        <v>489</v>
      </c>
      <c r="C73" s="146" t="s">
        <v>31</v>
      </c>
      <c r="D73" s="143" t="str">
        <f>IFERROR(AVERAGEIFS('Resale Market'!E:E,'Resale Market'!C:C,'Resale Market Consolidated'!B73,'Resale Market'!D:D,'Resale Market Consolidated'!C73),"-")</f>
        <v>-</v>
      </c>
      <c r="E73" s="137"/>
    </row>
    <row r="74" spans="2:5">
      <c r="B74" s="140" t="s">
        <v>489</v>
      </c>
      <c r="C74" s="140" t="s">
        <v>82</v>
      </c>
      <c r="D74" s="143">
        <f>IFERROR(AVERAGEIFS('Resale Market'!E:E,'Resale Market'!C:C,'Resale Market Consolidated'!B74,'Resale Market'!D:D,'Resale Market Consolidated'!C74),"-")</f>
        <v>387500</v>
      </c>
      <c r="E74" s="137"/>
    </row>
    <row r="75" spans="2:5">
      <c r="B75" s="140" t="s">
        <v>489</v>
      </c>
      <c r="C75" s="140" t="s">
        <v>71</v>
      </c>
      <c r="D75" s="143">
        <f>IFERROR(AVERAGEIFS('Resale Market'!E:E,'Resale Market'!C:C,'Resale Market Consolidated'!B75,'Resale Market'!D:D,'Resale Market Consolidated'!C75),"-")</f>
        <v>627000</v>
      </c>
      <c r="E75" s="137"/>
    </row>
    <row r="76" spans="2:5">
      <c r="B76" s="140" t="s">
        <v>489</v>
      </c>
      <c r="C76" s="140" t="s">
        <v>14</v>
      </c>
      <c r="D76" s="143" t="str">
        <f>IFERROR(AVERAGEIFS('Resale Market'!E:E,'Resale Market'!C:C,'Resale Market Consolidated'!B76,'Resale Market'!D:D,'Resale Market Consolidated'!C76),"-")</f>
        <v>-</v>
      </c>
      <c r="E76" s="137"/>
    </row>
    <row r="77" spans="2:5">
      <c r="B77" s="140" t="s">
        <v>489</v>
      </c>
      <c r="C77" s="146" t="s">
        <v>177</v>
      </c>
      <c r="D77" s="143" t="str">
        <f>IFERROR(AVERAGEIFS('Resale Market'!E:E,'Resale Market'!C:C,'Resale Market Consolidated'!B77,'Resale Market'!D:D,'Resale Market Consolidated'!C77),"-")</f>
        <v>-</v>
      </c>
      <c r="E77" s="137"/>
    </row>
    <row r="78" spans="2:5">
      <c r="B78" s="140" t="s">
        <v>497</v>
      </c>
      <c r="C78" s="146" t="s">
        <v>31</v>
      </c>
      <c r="D78" s="143" t="str">
        <f>IFERROR(AVERAGEIFS('Resale Market'!E:E,'Resale Market'!C:C,'Resale Market Consolidated'!B78,'Resale Market'!D:D,'Resale Market Consolidated'!C78),"-")</f>
        <v>-</v>
      </c>
      <c r="E78" s="137"/>
    </row>
    <row r="79" spans="2:5">
      <c r="B79" s="140" t="s">
        <v>497</v>
      </c>
      <c r="C79" s="140" t="s">
        <v>82</v>
      </c>
      <c r="D79" s="143">
        <f>IFERROR(AVERAGEIFS('Resale Market'!E:E,'Resale Market'!C:C,'Resale Market Consolidated'!B79,'Resale Market'!D:D,'Resale Market Consolidated'!C79),"-")</f>
        <v>353000</v>
      </c>
      <c r="E79" s="137"/>
    </row>
    <row r="80" spans="2:5">
      <c r="B80" s="140" t="s">
        <v>497</v>
      </c>
      <c r="C80" s="140" t="s">
        <v>71</v>
      </c>
      <c r="D80" s="143">
        <f>IFERROR(AVERAGEIFS('Resale Market'!E:E,'Resale Market'!C:C,'Resale Market Consolidated'!B80,'Resale Market'!D:D,'Resale Market Consolidated'!C80),"-")</f>
        <v>653285.71428571432</v>
      </c>
      <c r="E80" s="137"/>
    </row>
    <row r="81" spans="2:5">
      <c r="B81" s="140" t="s">
        <v>497</v>
      </c>
      <c r="C81" s="140" t="s">
        <v>14</v>
      </c>
      <c r="D81" s="143">
        <f>IFERROR(AVERAGEIFS('Resale Market'!E:E,'Resale Market'!C:C,'Resale Market Consolidated'!B81,'Resale Market'!D:D,'Resale Market Consolidated'!C81),"-")</f>
        <v>633333.33333333337</v>
      </c>
      <c r="E81" s="137"/>
    </row>
    <row r="82" spans="2:5">
      <c r="B82" s="140" t="s">
        <v>497</v>
      </c>
      <c r="C82" s="146" t="s">
        <v>177</v>
      </c>
      <c r="D82" s="143">
        <f>IFERROR(AVERAGEIFS('Resale Market'!E:E,'Resale Market'!C:C,'Resale Market Consolidated'!B82,'Resale Market'!D:D,'Resale Market Consolidated'!C82),"-")</f>
        <v>910000</v>
      </c>
      <c r="E82" s="137"/>
    </row>
    <row r="83" spans="2:5">
      <c r="B83" s="140" t="s">
        <v>92</v>
      </c>
      <c r="C83" s="146" t="s">
        <v>31</v>
      </c>
      <c r="D83" s="143">
        <f>IFERROR(AVERAGEIFS('Resale Market'!E:E,'Resale Market'!C:C,'Resale Market Consolidated'!B83,'Resale Market'!D:D,'Resale Market Consolidated'!C83),"-")</f>
        <v>351000</v>
      </c>
      <c r="E83" s="137"/>
    </row>
    <row r="84" spans="2:5">
      <c r="B84" s="140" t="s">
        <v>92</v>
      </c>
      <c r="C84" s="140" t="s">
        <v>82</v>
      </c>
      <c r="D84" s="143">
        <f>IFERROR(AVERAGEIFS('Resale Market'!E:E,'Resale Market'!C:C,'Resale Market Consolidated'!B84,'Resale Market'!D:D,'Resale Market Consolidated'!C84),"-")</f>
        <v>487012.5</v>
      </c>
      <c r="E84" s="137"/>
    </row>
    <row r="85" spans="2:5">
      <c r="B85" s="140" t="s">
        <v>92</v>
      </c>
      <c r="C85" s="140" t="s">
        <v>71</v>
      </c>
      <c r="D85" s="143">
        <f>IFERROR(AVERAGEIFS('Resale Market'!E:E,'Resale Market'!C:C,'Resale Market Consolidated'!B85,'Resale Market'!D:D,'Resale Market Consolidated'!C85),"-")</f>
        <v>630700</v>
      </c>
      <c r="E85" s="137"/>
    </row>
    <row r="86" spans="2:5">
      <c r="B86" s="140" t="s">
        <v>92</v>
      </c>
      <c r="C86" s="140" t="s">
        <v>14</v>
      </c>
      <c r="D86" s="143">
        <f>IFERROR(AVERAGEIFS('Resale Market'!E:E,'Resale Market'!C:C,'Resale Market Consolidated'!B86,'Resale Market'!D:D,'Resale Market Consolidated'!C86),"-")</f>
        <v>655500</v>
      </c>
      <c r="E86" s="137"/>
    </row>
    <row r="87" spans="2:5">
      <c r="B87" s="140" t="s">
        <v>92</v>
      </c>
      <c r="C87" s="146" t="s">
        <v>177</v>
      </c>
      <c r="D87" s="143" t="str">
        <f>IFERROR(AVERAGEIFS('Resale Market'!E:E,'Resale Market'!C:C,'Resale Market Consolidated'!B87,'Resale Market'!D:D,'Resale Market Consolidated'!C87),"-")</f>
        <v>-</v>
      </c>
      <c r="E87" s="137"/>
    </row>
    <row r="88" spans="2:5">
      <c r="B88" s="140" t="s">
        <v>102</v>
      </c>
      <c r="C88" s="146" t="s">
        <v>31</v>
      </c>
      <c r="D88" s="143">
        <f>IFERROR(AVERAGEIFS('Resale Market'!E:E,'Resale Market'!C:C,'Resale Market Consolidated'!B88,'Resale Market'!D:D,'Resale Market Consolidated'!C88),"-")</f>
        <v>285000</v>
      </c>
      <c r="E88" s="137"/>
    </row>
    <row r="89" spans="2:5">
      <c r="B89" s="140" t="s">
        <v>102</v>
      </c>
      <c r="C89" s="140" t="s">
        <v>82</v>
      </c>
      <c r="D89" s="143">
        <f>IFERROR(AVERAGEIFS('Resale Market'!E:E,'Resale Market'!C:C,'Resale Market Consolidated'!B89,'Resale Market'!D:D,'Resale Market Consolidated'!C89),"-")</f>
        <v>555000</v>
      </c>
      <c r="E89" s="137"/>
    </row>
    <row r="90" spans="2:5">
      <c r="B90" s="140" t="s">
        <v>102</v>
      </c>
      <c r="C90" s="140" t="s">
        <v>71</v>
      </c>
      <c r="D90" s="143">
        <f>IFERROR(AVERAGEIFS('Resale Market'!E:E,'Resale Market'!C:C,'Resale Market Consolidated'!B90,'Resale Market'!D:D,'Resale Market Consolidated'!C90),"-")</f>
        <v>785000</v>
      </c>
      <c r="E90" s="137"/>
    </row>
    <row r="91" spans="2:5">
      <c r="B91" s="140" t="s">
        <v>102</v>
      </c>
      <c r="C91" s="140" t="s">
        <v>14</v>
      </c>
      <c r="D91" s="143">
        <f>IFERROR(AVERAGEIFS('Resale Market'!E:E,'Resale Market'!C:C,'Resale Market Consolidated'!B91,'Resale Market'!D:D,'Resale Market Consolidated'!C91),"-")</f>
        <v>840000</v>
      </c>
      <c r="E91" s="137"/>
    </row>
    <row r="92" spans="2:5">
      <c r="B92" s="140" t="s">
        <v>102</v>
      </c>
      <c r="C92" s="146" t="s">
        <v>177</v>
      </c>
      <c r="D92" s="143" t="str">
        <f>IFERROR(AVERAGEIFS('Resale Market'!E:E,'Resale Market'!C:C,'Resale Market Consolidated'!B92,'Resale Market'!D:D,'Resale Market Consolidated'!C92),"-")</f>
        <v>-</v>
      </c>
      <c r="E92" s="137"/>
    </row>
    <row r="93" spans="2:5">
      <c r="B93" s="140" t="s">
        <v>566</v>
      </c>
      <c r="C93" s="146" t="s">
        <v>31</v>
      </c>
      <c r="D93" s="143">
        <f>IFERROR(AVERAGEIFS('Resale Market'!E:E,'Resale Market'!C:C,'Resale Market Consolidated'!B93,'Resale Market'!D:D,'Resale Market Consolidated'!C93),"-")</f>
        <v>340000</v>
      </c>
      <c r="E93" s="137"/>
    </row>
    <row r="94" spans="2:5">
      <c r="B94" s="140" t="s">
        <v>566</v>
      </c>
      <c r="C94" s="140" t="s">
        <v>82</v>
      </c>
      <c r="D94" s="143" t="str">
        <f>IFERROR(AVERAGEIFS('Resale Market'!E:E,'Resale Market'!C:C,'Resale Market Consolidated'!B94,'Resale Market'!D:D,'Resale Market Consolidated'!C94),"-")</f>
        <v>-</v>
      </c>
      <c r="E94" s="137"/>
    </row>
    <row r="95" spans="2:5">
      <c r="B95" s="140" t="s">
        <v>566</v>
      </c>
      <c r="C95" s="140" t="s">
        <v>71</v>
      </c>
      <c r="D95" s="143">
        <f>IFERROR(AVERAGEIFS('Resale Market'!E:E,'Resale Market'!C:C,'Resale Market Consolidated'!B95,'Resale Market'!D:D,'Resale Market Consolidated'!C95),"-")</f>
        <v>544987.5555555555</v>
      </c>
      <c r="E95" s="137"/>
    </row>
    <row r="96" spans="2:5">
      <c r="B96" s="140" t="s">
        <v>566</v>
      </c>
      <c r="C96" s="140" t="s">
        <v>14</v>
      </c>
      <c r="D96" s="143">
        <f>IFERROR(AVERAGEIFS('Resale Market'!E:E,'Resale Market'!C:C,'Resale Market Consolidated'!B96,'Resale Market'!D:D,'Resale Market Consolidated'!C96),"-")</f>
        <v>564000</v>
      </c>
      <c r="E96" s="137"/>
    </row>
    <row r="97" spans="2:5">
      <c r="B97" s="140" t="s">
        <v>566</v>
      </c>
      <c r="C97" s="146" t="s">
        <v>177</v>
      </c>
      <c r="D97" s="143" t="str">
        <f>IFERROR(AVERAGEIFS('Resale Market'!E:E,'Resale Market'!C:C,'Resale Market Consolidated'!B97,'Resale Market'!D:D,'Resale Market Consolidated'!C97),"-")</f>
        <v>-</v>
      </c>
      <c r="E97" s="137"/>
    </row>
    <row r="98" spans="2:5">
      <c r="B98" s="140" t="s">
        <v>587</v>
      </c>
      <c r="C98" s="146" t="s">
        <v>31</v>
      </c>
      <c r="D98" s="143" t="str">
        <f>IFERROR(AVERAGEIFS('Resale Market'!E:E,'Resale Market'!C:C,'Resale Market Consolidated'!B98,'Resale Market'!D:D,'Resale Market Consolidated'!C98),"-")</f>
        <v>-</v>
      </c>
      <c r="E98" s="137"/>
    </row>
    <row r="99" spans="2:5">
      <c r="B99" s="140" t="s">
        <v>587</v>
      </c>
      <c r="C99" s="140" t="s">
        <v>82</v>
      </c>
      <c r="D99" s="143">
        <f>IFERROR(AVERAGEIFS('Resale Market'!E:E,'Resale Market'!C:C,'Resale Market Consolidated'!B99,'Resale Market'!D:D,'Resale Market Consolidated'!C99),"-")</f>
        <v>487500</v>
      </c>
      <c r="E99" s="137"/>
    </row>
    <row r="100" spans="2:5">
      <c r="B100" s="140" t="s">
        <v>587</v>
      </c>
      <c r="C100" s="140" t="s">
        <v>71</v>
      </c>
      <c r="D100" s="143">
        <f>IFERROR(AVERAGEIFS('Resale Market'!E:E,'Resale Market'!C:C,'Resale Market Consolidated'!B100,'Resale Market'!D:D,'Resale Market Consolidated'!C100),"-")</f>
        <v>561325.8666666667</v>
      </c>
      <c r="E100" s="137"/>
    </row>
    <row r="101" spans="2:5">
      <c r="B101" s="140" t="s">
        <v>587</v>
      </c>
      <c r="C101" s="140" t="s">
        <v>14</v>
      </c>
      <c r="D101" s="143">
        <f>IFERROR(AVERAGEIFS('Resale Market'!E:E,'Resale Market'!C:C,'Resale Market Consolidated'!B101,'Resale Market'!D:D,'Resale Market Consolidated'!C101),"-")</f>
        <v>596857.14285714284</v>
      </c>
      <c r="E101" s="137"/>
    </row>
    <row r="102" spans="2:5">
      <c r="B102" s="140" t="s">
        <v>587</v>
      </c>
      <c r="C102" s="146" t="s">
        <v>177</v>
      </c>
      <c r="D102" s="143">
        <f>IFERROR(AVERAGEIFS('Resale Market'!E:E,'Resale Market'!C:C,'Resale Market Consolidated'!B102,'Resale Market'!D:D,'Resale Market Consolidated'!C102),"-")</f>
        <v>772000</v>
      </c>
      <c r="E102" s="137"/>
    </row>
    <row r="103" spans="2:5">
      <c r="B103" s="140" t="s">
        <v>628</v>
      </c>
      <c r="C103" s="146" t="s">
        <v>31</v>
      </c>
      <c r="D103" s="143" t="str">
        <f>IFERROR(AVERAGEIFS('Resale Market'!E:E,'Resale Market'!C:C,'Resale Market Consolidated'!B103,'Resale Market'!D:D,'Resale Market Consolidated'!C103),"-")</f>
        <v>-</v>
      </c>
      <c r="E103" s="137"/>
    </row>
    <row r="104" spans="2:5">
      <c r="B104" s="140" t="s">
        <v>628</v>
      </c>
      <c r="C104" s="140" t="s">
        <v>82</v>
      </c>
      <c r="D104" s="143">
        <f>IFERROR(AVERAGEIFS('Resale Market'!E:E,'Resale Market'!C:C,'Resale Market Consolidated'!B104,'Resale Market'!D:D,'Resale Market Consolidated'!C104),"-")</f>
        <v>420000</v>
      </c>
      <c r="E104" s="137"/>
    </row>
    <row r="105" spans="2:5">
      <c r="B105" s="140" t="s">
        <v>628</v>
      </c>
      <c r="C105" s="140" t="s">
        <v>71</v>
      </c>
      <c r="D105" s="143">
        <f>IFERROR(AVERAGEIFS('Resale Market'!E:E,'Resale Market'!C:C,'Resale Market Consolidated'!B105,'Resale Market'!D:D,'Resale Market Consolidated'!C105),"-")</f>
        <v>690000</v>
      </c>
      <c r="E105" s="137"/>
    </row>
    <row r="106" spans="2:5">
      <c r="B106" s="140" t="s">
        <v>628</v>
      </c>
      <c r="C106" s="140" t="s">
        <v>14</v>
      </c>
      <c r="D106" s="143">
        <f>IFERROR(AVERAGEIFS('Resale Market'!E:E,'Resale Market'!C:C,'Resale Market Consolidated'!B106,'Resale Market'!D:D,'Resale Market Consolidated'!C106),"-")</f>
        <v>876000</v>
      </c>
      <c r="E106" s="137"/>
    </row>
    <row r="107" spans="2:5">
      <c r="B107" s="140" t="s">
        <v>628</v>
      </c>
      <c r="C107" s="146" t="s">
        <v>177</v>
      </c>
      <c r="D107" s="143" t="str">
        <f>IFERROR(AVERAGEIFS('Resale Market'!E:E,'Resale Market'!C:C,'Resale Market Consolidated'!B107,'Resale Market'!D:D,'Resale Market Consolidated'!C107),"-")</f>
        <v>-</v>
      </c>
      <c r="E107" s="137"/>
    </row>
    <row r="108" spans="2:5">
      <c r="B108" s="140" t="s">
        <v>637</v>
      </c>
      <c r="C108" s="146" t="s">
        <v>31</v>
      </c>
      <c r="D108" s="143" t="str">
        <f>IFERROR(AVERAGEIFS('Resale Market'!E:E,'Resale Market'!C:C,'Resale Market Consolidated'!B108,'Resale Market'!D:D,'Resale Market Consolidated'!C108),"-")</f>
        <v>-</v>
      </c>
      <c r="E108" s="137"/>
    </row>
    <row r="109" spans="2:5">
      <c r="B109" s="140" t="s">
        <v>637</v>
      </c>
      <c r="C109" s="140" t="s">
        <v>82</v>
      </c>
      <c r="D109" s="143">
        <f>IFERROR(AVERAGEIFS('Resale Market'!E:E,'Resale Market'!C:C,'Resale Market Consolidated'!B109,'Resale Market'!D:D,'Resale Market Consolidated'!C109),"-")</f>
        <v>474682.28571428574</v>
      </c>
      <c r="E109" s="137"/>
    </row>
    <row r="110" spans="2:5">
      <c r="B110" s="140" t="s">
        <v>637</v>
      </c>
      <c r="C110" s="140" t="s">
        <v>71</v>
      </c>
      <c r="D110" s="143">
        <f>IFERROR(AVERAGEIFS('Resale Market'!E:E,'Resale Market'!C:C,'Resale Market Consolidated'!B110,'Resale Market'!D:D,'Resale Market Consolidated'!C110),"-")</f>
        <v>600907.33333333337</v>
      </c>
      <c r="E110" s="137"/>
    </row>
    <row r="111" spans="2:5">
      <c r="B111" s="140" t="s">
        <v>637</v>
      </c>
      <c r="C111" s="140" t="s">
        <v>14</v>
      </c>
      <c r="D111" s="143">
        <f>IFERROR(AVERAGEIFS('Resale Market'!E:E,'Resale Market'!C:C,'Resale Market Consolidated'!B111,'Resale Market'!D:D,'Resale Market Consolidated'!C111),"-")</f>
        <v>749666.66666666663</v>
      </c>
      <c r="E111" s="137"/>
    </row>
    <row r="112" spans="2:5">
      <c r="B112" s="140" t="s">
        <v>637</v>
      </c>
      <c r="C112" s="146" t="s">
        <v>177</v>
      </c>
      <c r="D112" s="143">
        <f>IFERROR(AVERAGEIFS('Resale Market'!E:E,'Resale Market'!C:C,'Resale Market Consolidated'!B112,'Resale Market'!D:D,'Resale Market Consolidated'!C112),"-")</f>
        <v>816500</v>
      </c>
      <c r="E112" s="137"/>
    </row>
    <row r="113" spans="2:5">
      <c r="B113" s="140" t="s">
        <v>673</v>
      </c>
      <c r="C113" s="146" t="s">
        <v>31</v>
      </c>
      <c r="D113" s="143" t="str">
        <f>IFERROR(AVERAGEIFS('Resale Market'!E:E,'Resale Market'!C:C,'Resale Market Consolidated'!B113,'Resale Market'!D:D,'Resale Market Consolidated'!C113),"-")</f>
        <v>-</v>
      </c>
      <c r="E113" s="137"/>
    </row>
    <row r="114" spans="2:5">
      <c r="B114" s="140" t="s">
        <v>673</v>
      </c>
      <c r="C114" s="140" t="s">
        <v>82</v>
      </c>
      <c r="D114" s="143">
        <f>IFERROR(AVERAGEIFS('Resale Market'!E:E,'Resale Market'!C:C,'Resale Market Consolidated'!B114,'Resale Market'!D:D,'Resale Market Consolidated'!C114),"-")</f>
        <v>372600</v>
      </c>
      <c r="E114" s="137"/>
    </row>
    <row r="115" spans="2:5">
      <c r="B115" s="140" t="s">
        <v>673</v>
      </c>
      <c r="C115" s="140" t="s">
        <v>71</v>
      </c>
      <c r="D115" s="143">
        <f>IFERROR(AVERAGEIFS('Resale Market'!E:E,'Resale Market'!C:C,'Resale Market Consolidated'!B115,'Resale Market'!D:D,'Resale Market Consolidated'!C115),"-")</f>
        <v>865217.6</v>
      </c>
      <c r="E115" s="137"/>
    </row>
    <row r="116" spans="2:5">
      <c r="B116" s="140" t="s">
        <v>673</v>
      </c>
      <c r="C116" s="140" t="s">
        <v>14</v>
      </c>
      <c r="D116" s="143">
        <f>IFERROR(AVERAGEIFS('Resale Market'!E:E,'Resale Market'!C:C,'Resale Market Consolidated'!B116,'Resale Market'!D:D,'Resale Market Consolidated'!C116),"-")</f>
        <v>690000</v>
      </c>
      <c r="E116" s="137"/>
    </row>
    <row r="117" spans="2:5">
      <c r="B117" s="140" t="s">
        <v>673</v>
      </c>
      <c r="C117" s="146" t="s">
        <v>177</v>
      </c>
      <c r="D117" s="143" t="str">
        <f>IFERROR(AVERAGEIFS('Resale Market'!E:E,'Resale Market'!C:C,'Resale Market Consolidated'!B117,'Resale Market'!D:D,'Resale Market Consolidated'!C117),"-")</f>
        <v>-</v>
      </c>
      <c r="E117" s="137"/>
    </row>
    <row r="118" spans="2:5">
      <c r="B118" s="140" t="s">
        <v>107</v>
      </c>
      <c r="C118" s="146" t="s">
        <v>31</v>
      </c>
      <c r="D118" s="143">
        <f>IFERROR(AVERAGEIFS('Resale Market'!E:E,'Resale Market'!C:C,'Resale Market Consolidated'!B118,'Resale Market'!D:D,'Resale Market Consolidated'!C118),"-")</f>
        <v>328333.33333333331</v>
      </c>
      <c r="E118" s="137"/>
    </row>
    <row r="119" spans="2:5">
      <c r="B119" s="140" t="s">
        <v>107</v>
      </c>
      <c r="C119" s="140" t="s">
        <v>82</v>
      </c>
      <c r="D119" s="143">
        <f>IFERROR(AVERAGEIFS('Resale Market'!E:E,'Resale Market'!C:C,'Resale Market Consolidated'!B119,'Resale Market'!D:D,'Resale Market Consolidated'!C119),"-")</f>
        <v>376200</v>
      </c>
      <c r="E119" s="137"/>
    </row>
    <row r="120" spans="2:5">
      <c r="B120" s="140" t="s">
        <v>107</v>
      </c>
      <c r="C120" s="140" t="s">
        <v>71</v>
      </c>
      <c r="D120" s="143">
        <f>IFERROR(AVERAGEIFS('Resale Market'!E:E,'Resale Market'!C:C,'Resale Market Consolidated'!B120,'Resale Market'!D:D,'Resale Market Consolidated'!C120),"-")</f>
        <v>544828.92307692312</v>
      </c>
      <c r="E120" s="137"/>
    </row>
    <row r="121" spans="2:5">
      <c r="B121" s="140" t="s">
        <v>107</v>
      </c>
      <c r="C121" s="140" t="s">
        <v>14</v>
      </c>
      <c r="D121" s="143">
        <f>IFERROR(AVERAGEIFS('Resale Market'!E:E,'Resale Market'!C:C,'Resale Market Consolidated'!B121,'Resale Market'!D:D,'Resale Market Consolidated'!C121),"-")</f>
        <v>668300</v>
      </c>
      <c r="E121" s="137"/>
    </row>
    <row r="122" spans="2:5">
      <c r="B122" s="140" t="s">
        <v>107</v>
      </c>
      <c r="C122" s="146" t="s">
        <v>177</v>
      </c>
      <c r="D122" s="143">
        <f>IFERROR(AVERAGEIFS('Resale Market'!E:E,'Resale Market'!C:C,'Resale Market Consolidated'!B122,'Resale Market'!D:D,'Resale Market Consolidated'!C122),"-")</f>
        <v>779000</v>
      </c>
      <c r="E122" s="137"/>
    </row>
    <row r="123" spans="2:5">
      <c r="B123" s="140" t="s">
        <v>741</v>
      </c>
      <c r="C123" s="146" t="s">
        <v>31</v>
      </c>
      <c r="D123" s="143">
        <f>IFERROR(AVERAGEIFS('Resale Market'!E:E,'Resale Market'!C:C,'Resale Market Consolidated'!B123,'Resale Market'!D:D,'Resale Market Consolidated'!C123),"-")</f>
        <v>315000</v>
      </c>
      <c r="E123" s="137"/>
    </row>
    <row r="124" spans="2:5">
      <c r="B124" s="140" t="s">
        <v>741</v>
      </c>
      <c r="C124" s="140" t="s">
        <v>82</v>
      </c>
      <c r="D124" s="143">
        <f>IFERROR(AVERAGEIFS('Resale Market'!E:E,'Resale Market'!C:C,'Resale Market Consolidated'!B124,'Resale Market'!D:D,'Resale Market Consolidated'!C124),"-")</f>
        <v>390428.57142857142</v>
      </c>
      <c r="E124" s="137"/>
    </row>
    <row r="125" spans="2:5">
      <c r="B125" s="140" t="s">
        <v>741</v>
      </c>
      <c r="C125" s="140" t="s">
        <v>71</v>
      </c>
      <c r="D125" s="143">
        <f>IFERROR(AVERAGEIFS('Resale Market'!E:E,'Resale Market'!C:C,'Resale Market Consolidated'!B125,'Resale Market'!D:D,'Resale Market Consolidated'!C125),"-")</f>
        <v>539986.82352941181</v>
      </c>
      <c r="E125" s="137"/>
    </row>
    <row r="126" spans="2:5">
      <c r="B126" s="140" t="s">
        <v>741</v>
      </c>
      <c r="C126" s="140" t="s">
        <v>14</v>
      </c>
      <c r="D126" s="143">
        <f>IFERROR(AVERAGEIFS('Resale Market'!E:E,'Resale Market'!C:C,'Resale Market Consolidated'!B126,'Resale Market'!D:D,'Resale Market Consolidated'!C126),"-")</f>
        <v>655861</v>
      </c>
      <c r="E126" s="137"/>
    </row>
    <row r="127" spans="2:5">
      <c r="B127" s="141" t="s">
        <v>741</v>
      </c>
      <c r="C127" s="147" t="s">
        <v>177</v>
      </c>
      <c r="D127" s="144">
        <f>IFERROR(AVERAGEIFS('Resale Market'!E:E,'Resale Market'!C:C,'Resale Market Consolidated'!B127,'Resale Market'!D:D,'Resale Market Consolidated'!C127),"-")</f>
        <v>860000</v>
      </c>
      <c r="E127" s="137"/>
    </row>
  </sheetData>
  <mergeCells count="2">
    <mergeCell ref="AE5:AF5"/>
    <mergeCell ref="G5:H5"/>
  </mergeCells>
  <dataValidations count="2">
    <dataValidation type="list" allowBlank="1" showInputMessage="1" showErrorMessage="1" sqref="G5" xr:uid="{8CC920E6-702F-1F44-B60B-E5A43889FF1B}">
      <formula1>AF9:AF13</formula1>
    </dataValidation>
    <dataValidation type="list" allowBlank="1" showInputMessage="1" showErrorMessage="1" sqref="AE5:AF5" xr:uid="{8930162C-E64C-1742-B308-16E081ED2932}">
      <formula1>$H$9:$H$33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heck Box 1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7</xdr:row>
                    <xdr:rowOff>177800</xdr:rowOff>
                  </from>
                  <to>
                    <xdr:col>7</xdr:col>
                    <xdr:colOff>114300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Check Box 2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9</xdr:row>
                    <xdr:rowOff>177800</xdr:rowOff>
                  </from>
                  <to>
                    <xdr:col>7</xdr:col>
                    <xdr:colOff>114300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Check Box 3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10</xdr:row>
                    <xdr:rowOff>190500</xdr:rowOff>
                  </from>
                  <to>
                    <xdr:col>7</xdr:col>
                    <xdr:colOff>114300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Check Box 4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11</xdr:row>
                    <xdr:rowOff>177800</xdr:rowOff>
                  </from>
                  <to>
                    <xdr:col>7</xdr:col>
                    <xdr:colOff>114300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Check Box 5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12</xdr:row>
                    <xdr:rowOff>177800</xdr:rowOff>
                  </from>
                  <to>
                    <xdr:col>7</xdr:col>
                    <xdr:colOff>114300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Check Box 6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8</xdr:row>
                    <xdr:rowOff>177800</xdr:rowOff>
                  </from>
                  <to>
                    <xdr:col>7</xdr:col>
                    <xdr:colOff>114300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Check Box 7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13</xdr:row>
                    <xdr:rowOff>177800</xdr:rowOff>
                  </from>
                  <to>
                    <xdr:col>7</xdr:col>
                    <xdr:colOff>114300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Check Box 8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14</xdr:row>
                    <xdr:rowOff>177800</xdr:rowOff>
                  </from>
                  <to>
                    <xdr:col>7</xdr:col>
                    <xdr:colOff>114300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1" name="Check Box 9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15</xdr:row>
                    <xdr:rowOff>177800</xdr:rowOff>
                  </from>
                  <to>
                    <xdr:col>7</xdr:col>
                    <xdr:colOff>114300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2" name="Check Box 10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16</xdr:row>
                    <xdr:rowOff>177800</xdr:rowOff>
                  </from>
                  <to>
                    <xdr:col>7</xdr:col>
                    <xdr:colOff>114300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3" name="Check Box 11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17</xdr:row>
                    <xdr:rowOff>177800</xdr:rowOff>
                  </from>
                  <to>
                    <xdr:col>7</xdr:col>
                    <xdr:colOff>114300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4" name="Check Box 12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18</xdr:row>
                    <xdr:rowOff>177800</xdr:rowOff>
                  </from>
                  <to>
                    <xdr:col>7</xdr:col>
                    <xdr:colOff>114300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5" name="Check Box 13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19</xdr:row>
                    <xdr:rowOff>177800</xdr:rowOff>
                  </from>
                  <to>
                    <xdr:col>7</xdr:col>
                    <xdr:colOff>114300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6" name="Check Box 14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20</xdr:row>
                    <xdr:rowOff>190500</xdr:rowOff>
                  </from>
                  <to>
                    <xdr:col>7</xdr:col>
                    <xdr:colOff>114300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7" name="Check Box 15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21</xdr:row>
                    <xdr:rowOff>190500</xdr:rowOff>
                  </from>
                  <to>
                    <xdr:col>7</xdr:col>
                    <xdr:colOff>114300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8" name="Check Box 16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22</xdr:row>
                    <xdr:rowOff>177800</xdr:rowOff>
                  </from>
                  <to>
                    <xdr:col>7</xdr:col>
                    <xdr:colOff>114300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9" name="Check Box 17">
              <controlPr defaultSize="0" autoFill="0" autoLine="0" autoPict="0" altText="Ang Mo Kio">
                <anchor moveWithCells="1">
                  <from>
                    <xdr:col>6</xdr:col>
                    <xdr:colOff>12700</xdr:colOff>
                    <xdr:row>23</xdr:row>
                    <xdr:rowOff>190500</xdr:rowOff>
                  </from>
                  <to>
                    <xdr:col>7</xdr:col>
                    <xdr:colOff>127000</xdr:colOff>
                    <xdr:row>25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20" name="Check Box 18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24</xdr:row>
                    <xdr:rowOff>177800</xdr:rowOff>
                  </from>
                  <to>
                    <xdr:col>7</xdr:col>
                    <xdr:colOff>114300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21" name="Check Box 19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25</xdr:row>
                    <xdr:rowOff>177800</xdr:rowOff>
                  </from>
                  <to>
                    <xdr:col>7</xdr:col>
                    <xdr:colOff>114300</xdr:colOff>
                    <xdr:row>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22" name="Check Box 20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26</xdr:row>
                    <xdr:rowOff>190500</xdr:rowOff>
                  </from>
                  <to>
                    <xdr:col>7</xdr:col>
                    <xdr:colOff>114300</xdr:colOff>
                    <xdr:row>28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23" name="Check Box 21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27</xdr:row>
                    <xdr:rowOff>177800</xdr:rowOff>
                  </from>
                  <to>
                    <xdr:col>7</xdr:col>
                    <xdr:colOff>114300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24" name="Check Box 22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28</xdr:row>
                    <xdr:rowOff>177800</xdr:rowOff>
                  </from>
                  <to>
                    <xdr:col>7</xdr:col>
                    <xdr:colOff>114300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25" name="Check Box 23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29</xdr:row>
                    <xdr:rowOff>177800</xdr:rowOff>
                  </from>
                  <to>
                    <xdr:col>7</xdr:col>
                    <xdr:colOff>114300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26" name="Check Box 24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30</xdr:row>
                    <xdr:rowOff>177800</xdr:rowOff>
                  </from>
                  <to>
                    <xdr:col>7</xdr:col>
                    <xdr:colOff>114300</xdr:colOff>
                    <xdr:row>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7" name="Check Box 25">
              <controlPr defaultSize="0" autoFill="0" autoLine="0" autoPict="0" altText="Ang Mo Kio">
                <anchor moveWithCells="1">
                  <from>
                    <xdr:col>6</xdr:col>
                    <xdr:colOff>0</xdr:colOff>
                    <xdr:row>31</xdr:row>
                    <xdr:rowOff>177800</xdr:rowOff>
                  </from>
                  <to>
                    <xdr:col>7</xdr:col>
                    <xdr:colOff>114300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8" name="Check Box 26">
              <controlPr defaultSize="0" autoFill="0" autoLine="0" autoPict="0" altText="Ang Mo Kio">
                <anchor moveWithCells="1">
                  <from>
                    <xdr:col>29</xdr:col>
                    <xdr:colOff>0</xdr:colOff>
                    <xdr:row>7</xdr:row>
                    <xdr:rowOff>190500</xdr:rowOff>
                  </from>
                  <to>
                    <xdr:col>31</xdr:col>
                    <xdr:colOff>127000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9" name="Check Box 27">
              <controlPr defaultSize="0" autoFill="0" autoLine="0" autoPict="0" altText="Ang Mo Kio">
                <anchor moveWithCells="1">
                  <from>
                    <xdr:col>29</xdr:col>
                    <xdr:colOff>0</xdr:colOff>
                    <xdr:row>8</xdr:row>
                    <xdr:rowOff>190500</xdr:rowOff>
                  </from>
                  <to>
                    <xdr:col>31</xdr:col>
                    <xdr:colOff>127000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30" name="Check Box 28">
              <controlPr defaultSize="0" autoFill="0" autoLine="0" autoPict="0" altText="Ang Mo Kio">
                <anchor moveWithCells="1">
                  <from>
                    <xdr:col>29</xdr:col>
                    <xdr:colOff>0</xdr:colOff>
                    <xdr:row>10</xdr:row>
                    <xdr:rowOff>0</xdr:rowOff>
                  </from>
                  <to>
                    <xdr:col>31</xdr:col>
                    <xdr:colOff>127000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31" name="Check Box 29">
              <controlPr defaultSize="0" autoFill="0" autoLine="0" autoPict="0" altText="Ang Mo Kio">
                <anchor moveWithCells="1">
                  <from>
                    <xdr:col>29</xdr:col>
                    <xdr:colOff>0</xdr:colOff>
                    <xdr:row>11</xdr:row>
                    <xdr:rowOff>0</xdr:rowOff>
                  </from>
                  <to>
                    <xdr:col>31</xdr:col>
                    <xdr:colOff>139700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32" name="Check Box 30">
              <controlPr defaultSize="0" autoFill="0" autoLine="0" autoPict="0" altText="Ang Mo Kio">
                <anchor moveWithCells="1">
                  <from>
                    <xdr:col>29</xdr:col>
                    <xdr:colOff>0</xdr:colOff>
                    <xdr:row>11</xdr:row>
                    <xdr:rowOff>177800</xdr:rowOff>
                  </from>
                  <to>
                    <xdr:col>31</xdr:col>
                    <xdr:colOff>139700</xdr:colOff>
                    <xdr:row>13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9D90F-7778-BD4C-B583-80DEEFED7EBC}">
  <sheetPr codeName="Sheet4">
    <tabColor theme="9" tint="0.79998168889431442"/>
  </sheetPr>
  <dimension ref="A1:AC432"/>
  <sheetViews>
    <sheetView showGridLines="0" zoomScale="69" zoomScaleNormal="130" workbookViewId="0">
      <pane xSplit="2" ySplit="10" topLeftCell="E11" activePane="bottomRight" state="frozen"/>
      <selection pane="topRight" activeCell="C1" sqref="C1"/>
      <selection pane="bottomLeft" activeCell="A11" sqref="A11"/>
      <selection pane="bottomRight" activeCell="N10" sqref="N10:X32"/>
    </sheetView>
  </sheetViews>
  <sheetFormatPr baseColWidth="10" defaultColWidth="11" defaultRowHeight="16"/>
  <cols>
    <col min="2" max="2" width="25.33203125" style="58" customWidth="1"/>
    <col min="3" max="3" width="19.33203125" customWidth="1"/>
    <col min="5" max="5" width="13.6640625" bestFit="1" customWidth="1"/>
    <col min="6" max="6" width="17" customWidth="1"/>
    <col min="7" max="7" width="16.5" bestFit="1" customWidth="1"/>
    <col min="8" max="8" width="21" customWidth="1"/>
    <col min="10" max="10" width="19" customWidth="1"/>
    <col min="11" max="11" width="14.5" customWidth="1"/>
    <col min="12" max="12" width="11.83203125" customWidth="1"/>
    <col min="15" max="15" width="16.1640625" customWidth="1"/>
    <col min="16" max="16" width="12.5" bestFit="1" customWidth="1"/>
    <col min="17" max="17" width="13" customWidth="1"/>
    <col min="20" max="20" width="12.1640625" bestFit="1" customWidth="1"/>
    <col min="21" max="21" width="11" bestFit="1" customWidth="1"/>
  </cols>
  <sheetData>
    <row r="1" spans="1:27" ht="19">
      <c r="A1" s="130" t="s">
        <v>119</v>
      </c>
    </row>
    <row r="4" spans="1:27">
      <c r="B4" s="4" t="s">
        <v>60</v>
      </c>
    </row>
    <row r="5" spans="1:27">
      <c r="B5" s="2" t="s">
        <v>61</v>
      </c>
    </row>
    <row r="6" spans="1:27">
      <c r="B6" s="3" t="s">
        <v>62</v>
      </c>
    </row>
    <row r="7" spans="1:27" ht="17" customHeight="1"/>
    <row r="9" spans="1:27">
      <c r="H9" s="202" t="s">
        <v>18</v>
      </c>
      <c r="I9" s="203"/>
      <c r="J9" s="203"/>
      <c r="K9" s="203"/>
      <c r="L9" s="204"/>
    </row>
    <row r="10" spans="1:27" ht="51">
      <c r="B10" s="17" t="s">
        <v>37</v>
      </c>
      <c r="C10" s="131" t="s">
        <v>10</v>
      </c>
      <c r="D10" s="14" t="s">
        <v>11</v>
      </c>
      <c r="E10" s="26" t="s">
        <v>12</v>
      </c>
      <c r="F10" s="21" t="s">
        <v>120</v>
      </c>
      <c r="G10" s="17" t="s">
        <v>39</v>
      </c>
      <c r="H10" s="21" t="s">
        <v>64</v>
      </c>
      <c r="I10" s="21" t="s">
        <v>65</v>
      </c>
      <c r="J10" s="21" t="s">
        <v>26</v>
      </c>
      <c r="K10" s="21" t="s">
        <v>66</v>
      </c>
      <c r="L10" s="21" t="s">
        <v>67</v>
      </c>
      <c r="N10" s="1"/>
      <c r="O10" s="1"/>
      <c r="P10" s="1"/>
      <c r="Q10" s="51"/>
      <c r="R10" s="9"/>
      <c r="S10" s="1"/>
      <c r="T10" s="9"/>
      <c r="U10" s="9"/>
      <c r="V10" s="9"/>
      <c r="W10" s="9"/>
      <c r="X10" s="9"/>
    </row>
    <row r="11" spans="1:27">
      <c r="B11" s="37" t="s">
        <v>121</v>
      </c>
      <c r="C11" s="33" t="s">
        <v>122</v>
      </c>
      <c r="D11" s="34" t="s">
        <v>82</v>
      </c>
      <c r="E11" s="36">
        <v>520000</v>
      </c>
      <c r="F11" s="34">
        <v>2012</v>
      </c>
      <c r="G11" s="35" t="s">
        <v>123</v>
      </c>
      <c r="H11" s="34" t="s">
        <v>34</v>
      </c>
      <c r="I11" s="34" t="s">
        <v>35</v>
      </c>
      <c r="J11" s="34" t="s">
        <v>34</v>
      </c>
      <c r="K11" s="34" t="s">
        <v>34</v>
      </c>
      <c r="L11" s="34" t="s">
        <v>35</v>
      </c>
      <c r="N11" s="121"/>
      <c r="O11" s="121"/>
      <c r="P11" s="121"/>
      <c r="Q11" s="122"/>
      <c r="R11" s="121"/>
      <c r="S11" s="121"/>
      <c r="T11" s="121"/>
      <c r="U11" s="121"/>
      <c r="V11" s="121"/>
      <c r="W11" s="121"/>
      <c r="X11" s="121"/>
    </row>
    <row r="12" spans="1:27">
      <c r="B12" s="37" t="s">
        <v>124</v>
      </c>
      <c r="C12" s="32" t="s">
        <v>122</v>
      </c>
      <c r="D12" s="37" t="s">
        <v>82</v>
      </c>
      <c r="E12" s="39">
        <v>340000</v>
      </c>
      <c r="F12" s="37">
        <v>1980</v>
      </c>
      <c r="G12" s="38" t="s">
        <v>125</v>
      </c>
      <c r="H12" s="37" t="s">
        <v>34</v>
      </c>
      <c r="I12" s="37" t="s">
        <v>35</v>
      </c>
      <c r="J12" s="37" t="s">
        <v>35</v>
      </c>
      <c r="K12" s="37" t="s">
        <v>34</v>
      </c>
      <c r="L12" s="37" t="s">
        <v>35</v>
      </c>
      <c r="N12" s="121"/>
      <c r="O12" s="121"/>
      <c r="P12" s="121"/>
      <c r="Q12" s="122"/>
      <c r="R12" s="121"/>
      <c r="S12" s="121"/>
      <c r="T12" s="121"/>
      <c r="U12" s="121"/>
      <c r="V12" s="121"/>
      <c r="W12" s="121"/>
      <c r="X12" s="121"/>
    </row>
    <row r="13" spans="1:27">
      <c r="B13" s="37" t="s">
        <v>126</v>
      </c>
      <c r="C13" s="32" t="s">
        <v>122</v>
      </c>
      <c r="D13" s="37" t="s">
        <v>82</v>
      </c>
      <c r="E13" s="39">
        <v>375000</v>
      </c>
      <c r="F13" s="37">
        <v>1980</v>
      </c>
      <c r="G13" s="38" t="s">
        <v>127</v>
      </c>
      <c r="H13" s="37" t="s">
        <v>34</v>
      </c>
      <c r="I13" s="37" t="s">
        <v>35</v>
      </c>
      <c r="J13" s="37" t="s">
        <v>35</v>
      </c>
      <c r="K13" s="37" t="s">
        <v>34</v>
      </c>
      <c r="L13" s="37" t="s">
        <v>35</v>
      </c>
      <c r="N13" s="121"/>
      <c r="O13" s="121"/>
      <c r="P13" s="121"/>
      <c r="Q13" s="122"/>
      <c r="R13" s="121"/>
      <c r="S13" s="121"/>
      <c r="T13" s="121"/>
      <c r="U13" s="121"/>
      <c r="V13" s="121"/>
      <c r="W13" s="121"/>
      <c r="X13" s="121"/>
    </row>
    <row r="14" spans="1:27">
      <c r="B14" s="37" t="s">
        <v>128</v>
      </c>
      <c r="C14" s="32" t="s">
        <v>122</v>
      </c>
      <c r="D14" s="37" t="s">
        <v>82</v>
      </c>
      <c r="E14" s="39">
        <v>380000</v>
      </c>
      <c r="F14" s="37">
        <v>1977</v>
      </c>
      <c r="G14" s="38" t="s">
        <v>129</v>
      </c>
      <c r="H14" s="37" t="s">
        <v>34</v>
      </c>
      <c r="I14" s="37" t="s">
        <v>34</v>
      </c>
      <c r="J14" s="37" t="s">
        <v>34</v>
      </c>
      <c r="K14" s="37" t="s">
        <v>34</v>
      </c>
      <c r="L14" s="37" t="s">
        <v>35</v>
      </c>
      <c r="N14" s="121"/>
      <c r="O14" s="121"/>
      <c r="P14" s="121"/>
      <c r="Q14" s="122"/>
      <c r="R14" s="121"/>
      <c r="S14" s="121"/>
      <c r="T14" s="121"/>
      <c r="U14" s="121"/>
      <c r="V14" s="121"/>
      <c r="W14" s="121"/>
      <c r="X14" s="121"/>
      <c r="Y14" s="9"/>
      <c r="Z14" s="9"/>
      <c r="AA14" s="9"/>
    </row>
    <row r="15" spans="1:27">
      <c r="B15" s="37" t="s">
        <v>130</v>
      </c>
      <c r="C15" s="32" t="s">
        <v>122</v>
      </c>
      <c r="D15" s="37" t="s">
        <v>82</v>
      </c>
      <c r="E15" s="39">
        <v>415000</v>
      </c>
      <c r="F15" s="37">
        <v>1978</v>
      </c>
      <c r="G15" s="38" t="s">
        <v>131</v>
      </c>
      <c r="H15" s="37" t="s">
        <v>34</v>
      </c>
      <c r="I15" s="37" t="s">
        <v>35</v>
      </c>
      <c r="J15" s="37" t="s">
        <v>34</v>
      </c>
      <c r="K15" s="37" t="s">
        <v>34</v>
      </c>
      <c r="L15" s="37" t="s">
        <v>34</v>
      </c>
      <c r="N15" s="121"/>
      <c r="O15" s="121"/>
      <c r="P15" s="121"/>
      <c r="Q15" s="122"/>
      <c r="R15" s="121"/>
      <c r="S15" s="121"/>
      <c r="T15" s="121"/>
      <c r="U15" s="121"/>
      <c r="V15" s="121"/>
      <c r="W15" s="121"/>
      <c r="X15" s="121"/>
      <c r="Y15" s="9"/>
      <c r="Z15" s="9"/>
      <c r="AA15" s="9"/>
    </row>
    <row r="16" spans="1:27">
      <c r="B16" s="37" t="s">
        <v>132</v>
      </c>
      <c r="C16" s="32" t="s">
        <v>122</v>
      </c>
      <c r="D16" s="37" t="s">
        <v>82</v>
      </c>
      <c r="E16" s="39">
        <v>376000</v>
      </c>
      <c r="F16" s="37">
        <v>1985</v>
      </c>
      <c r="G16" s="38" t="s">
        <v>133</v>
      </c>
      <c r="H16" s="37" t="s">
        <v>34</v>
      </c>
      <c r="I16" s="37" t="s">
        <v>35</v>
      </c>
      <c r="J16" s="37" t="s">
        <v>34</v>
      </c>
      <c r="K16" s="37" t="s">
        <v>34</v>
      </c>
      <c r="L16" s="37" t="s">
        <v>34</v>
      </c>
      <c r="N16" s="121"/>
      <c r="O16" s="121"/>
      <c r="P16" s="121"/>
      <c r="Q16" s="122"/>
      <c r="R16" s="121"/>
      <c r="S16" s="121"/>
      <c r="T16" s="121"/>
      <c r="U16" s="121"/>
      <c r="V16" s="121"/>
      <c r="W16" s="121"/>
      <c r="X16" s="121"/>
      <c r="Y16" s="121"/>
      <c r="Z16" s="121"/>
      <c r="AA16" s="121"/>
    </row>
    <row r="17" spans="2:29">
      <c r="B17" s="37" t="s">
        <v>134</v>
      </c>
      <c r="C17" s="32" t="s">
        <v>122</v>
      </c>
      <c r="D17" s="37" t="s">
        <v>71</v>
      </c>
      <c r="E17" s="39">
        <v>628000</v>
      </c>
      <c r="F17" s="37">
        <v>1978</v>
      </c>
      <c r="G17" s="38" t="s">
        <v>131</v>
      </c>
      <c r="H17" s="37" t="s">
        <v>34</v>
      </c>
      <c r="I17" s="37" t="s">
        <v>35</v>
      </c>
      <c r="J17" s="37" t="s">
        <v>35</v>
      </c>
      <c r="K17" s="37" t="s">
        <v>34</v>
      </c>
      <c r="L17" s="37" t="s">
        <v>34</v>
      </c>
      <c r="N17" s="121"/>
      <c r="O17" s="121"/>
      <c r="P17" s="121"/>
      <c r="Q17" s="122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9"/>
      <c r="AC17" s="9"/>
    </row>
    <row r="18" spans="2:29">
      <c r="B18" s="37" t="s">
        <v>135</v>
      </c>
      <c r="C18" s="32" t="s">
        <v>122</v>
      </c>
      <c r="D18" s="37" t="s">
        <v>71</v>
      </c>
      <c r="E18" s="39">
        <v>522800</v>
      </c>
      <c r="F18" s="37">
        <v>1979</v>
      </c>
      <c r="G18" s="38" t="s">
        <v>136</v>
      </c>
      <c r="H18" s="37" t="s">
        <v>34</v>
      </c>
      <c r="I18" s="37" t="s">
        <v>35</v>
      </c>
      <c r="J18" s="37" t="s">
        <v>35</v>
      </c>
      <c r="K18" s="37" t="s">
        <v>34</v>
      </c>
      <c r="L18" s="37" t="s">
        <v>35</v>
      </c>
      <c r="N18" s="121"/>
      <c r="O18" s="121"/>
      <c r="P18" s="121"/>
      <c r="Q18" s="122"/>
      <c r="R18" s="121"/>
      <c r="S18" s="121"/>
      <c r="T18" s="121"/>
      <c r="U18" s="121"/>
      <c r="V18" s="121"/>
      <c r="W18" s="121"/>
      <c r="X18" s="121"/>
      <c r="Y18" s="121"/>
      <c r="Z18" s="121"/>
      <c r="AA18" s="121"/>
    </row>
    <row r="19" spans="2:29">
      <c r="B19" s="37" t="s">
        <v>137</v>
      </c>
      <c r="C19" s="32" t="s">
        <v>122</v>
      </c>
      <c r="D19" s="37" t="s">
        <v>71</v>
      </c>
      <c r="E19" s="39">
        <v>470000</v>
      </c>
      <c r="F19" s="37">
        <v>1978</v>
      </c>
      <c r="G19" s="38" t="s">
        <v>138</v>
      </c>
      <c r="H19" s="37" t="s">
        <v>34</v>
      </c>
      <c r="I19" s="37" t="s">
        <v>35</v>
      </c>
      <c r="J19" s="37" t="s">
        <v>35</v>
      </c>
      <c r="K19" s="37" t="s">
        <v>34</v>
      </c>
      <c r="L19" s="37" t="s">
        <v>34</v>
      </c>
      <c r="N19" s="121"/>
      <c r="O19" s="121"/>
      <c r="P19" s="121"/>
      <c r="Q19" s="122"/>
      <c r="R19" s="121"/>
      <c r="S19" s="121"/>
      <c r="T19" s="121"/>
      <c r="U19" s="121"/>
      <c r="V19" s="121"/>
      <c r="W19" s="121"/>
      <c r="X19" s="121"/>
      <c r="Y19" s="121"/>
      <c r="Z19" s="121"/>
      <c r="AA19" s="121"/>
    </row>
    <row r="20" spans="2:29">
      <c r="B20" s="37" t="s">
        <v>139</v>
      </c>
      <c r="C20" s="32" t="s">
        <v>122</v>
      </c>
      <c r="D20" s="37" t="s">
        <v>71</v>
      </c>
      <c r="E20" s="39">
        <v>780000</v>
      </c>
      <c r="F20" s="37">
        <v>2018</v>
      </c>
      <c r="G20" s="38" t="s">
        <v>140</v>
      </c>
      <c r="H20" s="37" t="s">
        <v>34</v>
      </c>
      <c r="I20" s="37" t="s">
        <v>35</v>
      </c>
      <c r="J20" s="37" t="s">
        <v>35</v>
      </c>
      <c r="K20" s="37" t="s">
        <v>34</v>
      </c>
      <c r="L20" s="37" t="s">
        <v>35</v>
      </c>
      <c r="N20" s="121"/>
      <c r="O20" s="121"/>
      <c r="P20" s="121"/>
      <c r="Q20" s="122"/>
      <c r="R20" s="121"/>
      <c r="S20" s="121"/>
      <c r="T20" s="121"/>
      <c r="U20" s="121"/>
      <c r="V20" s="121"/>
      <c r="W20" s="121"/>
      <c r="X20" s="121"/>
      <c r="Y20" s="121"/>
      <c r="Z20" s="121"/>
      <c r="AA20" s="121"/>
    </row>
    <row r="21" spans="2:29">
      <c r="B21" s="37" t="s">
        <v>141</v>
      </c>
      <c r="C21" s="32" t="s">
        <v>122</v>
      </c>
      <c r="D21" s="37" t="s">
        <v>14</v>
      </c>
      <c r="E21" s="39">
        <v>748888</v>
      </c>
      <c r="F21" s="37">
        <v>1979</v>
      </c>
      <c r="G21" s="38" t="s">
        <v>142</v>
      </c>
      <c r="H21" s="37" t="s">
        <v>34</v>
      </c>
      <c r="I21" s="37" t="s">
        <v>34</v>
      </c>
      <c r="J21" s="37" t="s">
        <v>34</v>
      </c>
      <c r="K21" s="37" t="s">
        <v>34</v>
      </c>
      <c r="L21" s="37" t="s">
        <v>34</v>
      </c>
      <c r="N21" s="121"/>
      <c r="O21" s="121"/>
      <c r="P21" s="121"/>
      <c r="Q21" s="122"/>
      <c r="R21" s="121"/>
      <c r="S21" s="121"/>
      <c r="T21" s="121"/>
      <c r="U21" s="121"/>
      <c r="V21" s="121"/>
      <c r="W21" s="121"/>
      <c r="X21" s="121"/>
      <c r="Y21" s="9"/>
      <c r="Z21" s="9"/>
      <c r="AA21" s="9"/>
    </row>
    <row r="22" spans="2:29">
      <c r="B22" s="37" t="s">
        <v>143</v>
      </c>
      <c r="C22" s="32" t="s">
        <v>69</v>
      </c>
      <c r="D22" s="37" t="s">
        <v>82</v>
      </c>
      <c r="E22" s="39">
        <v>372800</v>
      </c>
      <c r="F22" s="37">
        <v>1984</v>
      </c>
      <c r="G22" s="38" t="s">
        <v>144</v>
      </c>
      <c r="H22" s="37" t="s">
        <v>34</v>
      </c>
      <c r="I22" s="37" t="s">
        <v>35</v>
      </c>
      <c r="J22" s="37" t="s">
        <v>34</v>
      </c>
      <c r="K22" s="37" t="s">
        <v>34</v>
      </c>
      <c r="L22" s="37" t="s">
        <v>35</v>
      </c>
      <c r="N22" s="121"/>
      <c r="O22" s="121"/>
      <c r="P22" s="121"/>
      <c r="Q22" s="122"/>
      <c r="R22" s="121"/>
      <c r="S22" s="121"/>
      <c r="T22" s="121"/>
      <c r="U22" s="121"/>
      <c r="V22" s="121"/>
      <c r="W22" s="121"/>
      <c r="X22" s="121"/>
      <c r="Y22" s="121"/>
      <c r="Z22" s="121"/>
      <c r="AA22" s="121"/>
    </row>
    <row r="23" spans="2:29">
      <c r="B23" s="37" t="s">
        <v>145</v>
      </c>
      <c r="C23" s="32" t="s">
        <v>69</v>
      </c>
      <c r="D23" s="37" t="s">
        <v>82</v>
      </c>
      <c r="E23" s="39">
        <v>430000</v>
      </c>
      <c r="F23" s="37">
        <v>1978</v>
      </c>
      <c r="G23" s="38" t="s">
        <v>138</v>
      </c>
      <c r="H23" s="37" t="s">
        <v>34</v>
      </c>
      <c r="I23" s="37" t="s">
        <v>35</v>
      </c>
      <c r="J23" s="37" t="s">
        <v>34</v>
      </c>
      <c r="K23" s="37" t="s">
        <v>34</v>
      </c>
      <c r="L23" s="37" t="s">
        <v>35</v>
      </c>
      <c r="N23" s="121"/>
      <c r="O23" s="121"/>
      <c r="P23" s="121"/>
      <c r="Q23" s="122"/>
      <c r="R23" s="121"/>
      <c r="S23" s="121"/>
      <c r="T23" s="121"/>
      <c r="U23" s="121"/>
      <c r="V23" s="121"/>
      <c r="W23" s="121"/>
      <c r="X23" s="121"/>
      <c r="Y23" s="121"/>
      <c r="Z23" s="121"/>
      <c r="AA23" s="121"/>
    </row>
    <row r="24" spans="2:29">
      <c r="B24" s="37" t="s">
        <v>146</v>
      </c>
      <c r="C24" s="32" t="s">
        <v>69</v>
      </c>
      <c r="D24" s="37" t="s">
        <v>82</v>
      </c>
      <c r="E24" s="39">
        <v>326000</v>
      </c>
      <c r="F24" s="37">
        <v>1978</v>
      </c>
      <c r="G24" s="38" t="s">
        <v>147</v>
      </c>
      <c r="H24" s="37" t="s">
        <v>34</v>
      </c>
      <c r="I24" s="37" t="s">
        <v>35</v>
      </c>
      <c r="J24" s="37" t="s">
        <v>35</v>
      </c>
      <c r="K24" s="37" t="s">
        <v>34</v>
      </c>
      <c r="L24" s="37" t="s">
        <v>34</v>
      </c>
      <c r="N24" s="121"/>
      <c r="O24" s="121"/>
      <c r="P24" s="121"/>
      <c r="Q24" s="122"/>
      <c r="R24" s="121"/>
      <c r="S24" s="121"/>
      <c r="T24" s="121"/>
      <c r="U24" s="121"/>
      <c r="V24" s="121"/>
      <c r="W24" s="121"/>
      <c r="X24" s="121"/>
      <c r="Y24" s="121"/>
      <c r="Z24" s="121"/>
      <c r="AA24" s="121"/>
    </row>
    <row r="25" spans="2:29">
      <c r="B25" s="37" t="s">
        <v>148</v>
      </c>
      <c r="C25" s="32" t="s">
        <v>69</v>
      </c>
      <c r="D25" s="37" t="s">
        <v>82</v>
      </c>
      <c r="E25" s="39">
        <v>469000</v>
      </c>
      <c r="F25" s="37">
        <v>1977</v>
      </c>
      <c r="G25" s="38" t="s">
        <v>129</v>
      </c>
      <c r="H25" s="37" t="s">
        <v>34</v>
      </c>
      <c r="I25" s="37" t="s">
        <v>34</v>
      </c>
      <c r="J25" s="37" t="s">
        <v>34</v>
      </c>
      <c r="K25" s="37" t="s">
        <v>34</v>
      </c>
      <c r="L25" s="37" t="s">
        <v>34</v>
      </c>
      <c r="N25" s="121"/>
      <c r="O25" s="121"/>
      <c r="P25" s="121"/>
      <c r="Q25" s="122"/>
      <c r="R25" s="121"/>
      <c r="S25" s="121"/>
      <c r="T25" s="121"/>
      <c r="U25" s="121"/>
      <c r="V25" s="121"/>
      <c r="W25" s="121"/>
      <c r="X25" s="121"/>
      <c r="Y25" s="121"/>
      <c r="Z25" s="121"/>
      <c r="AA25" s="121"/>
    </row>
    <row r="26" spans="2:29">
      <c r="B26" s="37" t="s">
        <v>149</v>
      </c>
      <c r="C26" s="32" t="s">
        <v>69</v>
      </c>
      <c r="D26" s="37" t="s">
        <v>82</v>
      </c>
      <c r="E26" s="39">
        <v>378000</v>
      </c>
      <c r="F26" s="37">
        <v>1972</v>
      </c>
      <c r="G26" s="38" t="s">
        <v>150</v>
      </c>
      <c r="H26" s="37" t="s">
        <v>34</v>
      </c>
      <c r="I26" s="37" t="s">
        <v>34</v>
      </c>
      <c r="J26" s="37" t="s">
        <v>35</v>
      </c>
      <c r="K26" s="37" t="s">
        <v>34</v>
      </c>
      <c r="L26" s="37" t="s">
        <v>35</v>
      </c>
      <c r="N26" s="121"/>
      <c r="O26" s="121"/>
      <c r="P26" s="121"/>
      <c r="Q26" s="122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2:29">
      <c r="B27" s="37" t="s">
        <v>151</v>
      </c>
      <c r="C27" s="32" t="s">
        <v>69</v>
      </c>
      <c r="D27" s="37" t="s">
        <v>71</v>
      </c>
      <c r="E27" s="39">
        <v>808888</v>
      </c>
      <c r="F27" s="37">
        <v>2010</v>
      </c>
      <c r="G27" s="38" t="s">
        <v>152</v>
      </c>
      <c r="H27" s="37" t="s">
        <v>34</v>
      </c>
      <c r="I27" s="37" t="s">
        <v>34</v>
      </c>
      <c r="J27" s="37" t="s">
        <v>34</v>
      </c>
      <c r="K27" s="37" t="s">
        <v>34</v>
      </c>
      <c r="L27" s="37" t="s">
        <v>34</v>
      </c>
      <c r="P27" s="57"/>
      <c r="Q27" s="57"/>
      <c r="R27" s="121"/>
      <c r="S27" s="121"/>
      <c r="T27" s="122"/>
      <c r="U27" s="121"/>
      <c r="V27" s="121"/>
      <c r="W27" s="121"/>
      <c r="X27" s="121"/>
      <c r="Y27" s="121"/>
      <c r="Z27" s="121"/>
      <c r="AA27" s="121"/>
    </row>
    <row r="28" spans="2:29">
      <c r="B28" s="37" t="s">
        <v>153</v>
      </c>
      <c r="C28" s="32" t="s">
        <v>69</v>
      </c>
      <c r="D28" s="37" t="s">
        <v>71</v>
      </c>
      <c r="E28" s="39">
        <v>458000</v>
      </c>
      <c r="F28" s="37">
        <v>1979</v>
      </c>
      <c r="G28" s="38" t="s">
        <v>154</v>
      </c>
      <c r="H28" s="37" t="s">
        <v>34</v>
      </c>
      <c r="I28" s="37" t="s">
        <v>35</v>
      </c>
      <c r="J28" s="37" t="s">
        <v>34</v>
      </c>
      <c r="K28" s="37" t="s">
        <v>34</v>
      </c>
      <c r="L28" s="37" t="s">
        <v>35</v>
      </c>
      <c r="P28" s="57"/>
      <c r="Q28" s="57"/>
      <c r="R28" s="121"/>
      <c r="S28" s="121"/>
      <c r="T28" s="122"/>
      <c r="U28" s="121"/>
      <c r="V28" s="121"/>
      <c r="W28" s="121"/>
      <c r="X28" s="121"/>
      <c r="Y28" s="121"/>
      <c r="Z28" s="121"/>
      <c r="AA28" s="121"/>
    </row>
    <row r="29" spans="2:29">
      <c r="B29" s="37" t="s">
        <v>155</v>
      </c>
      <c r="C29" s="32" t="s">
        <v>69</v>
      </c>
      <c r="D29" s="37" t="s">
        <v>71</v>
      </c>
      <c r="E29" s="39">
        <v>718000</v>
      </c>
      <c r="F29" s="37">
        <v>2006</v>
      </c>
      <c r="G29" s="38" t="s">
        <v>156</v>
      </c>
      <c r="H29" s="37" t="s">
        <v>34</v>
      </c>
      <c r="I29" s="37" t="s">
        <v>35</v>
      </c>
      <c r="J29" s="37" t="s">
        <v>34</v>
      </c>
      <c r="K29" s="37" t="s">
        <v>34</v>
      </c>
      <c r="L29" s="37" t="s">
        <v>35</v>
      </c>
      <c r="O29" s="120"/>
      <c r="P29" s="57"/>
      <c r="Q29" s="57"/>
      <c r="R29" s="121"/>
      <c r="S29" s="121"/>
      <c r="T29" s="122"/>
      <c r="U29" s="121"/>
      <c r="V29" s="121"/>
      <c r="W29" s="121"/>
      <c r="X29" s="121"/>
      <c r="Y29" s="121"/>
      <c r="Z29" s="121"/>
      <c r="AA29" s="121"/>
    </row>
    <row r="30" spans="2:29">
      <c r="B30" s="37" t="s">
        <v>157</v>
      </c>
      <c r="C30" s="32" t="s">
        <v>69</v>
      </c>
      <c r="D30" s="37" t="s">
        <v>71</v>
      </c>
      <c r="E30" s="39">
        <v>495000</v>
      </c>
      <c r="F30" s="37">
        <v>1979</v>
      </c>
      <c r="G30" s="38" t="s">
        <v>142</v>
      </c>
      <c r="H30" s="37" t="s">
        <v>34</v>
      </c>
      <c r="I30" s="37" t="s">
        <v>34</v>
      </c>
      <c r="J30" s="37" t="s">
        <v>34</v>
      </c>
      <c r="K30" s="37" t="s">
        <v>34</v>
      </c>
      <c r="L30" s="37" t="s">
        <v>35</v>
      </c>
      <c r="O30" s="120"/>
      <c r="P30" s="57"/>
      <c r="Q30" s="57"/>
      <c r="R30" s="121"/>
      <c r="S30" s="121"/>
      <c r="T30" s="122"/>
      <c r="U30" s="121"/>
      <c r="V30" s="121"/>
      <c r="W30" s="121"/>
      <c r="X30" s="121"/>
      <c r="Y30" s="121"/>
      <c r="Z30" s="121"/>
      <c r="AA30" s="121"/>
    </row>
    <row r="31" spans="2:29">
      <c r="B31" s="37" t="s">
        <v>158</v>
      </c>
      <c r="C31" s="32" t="s">
        <v>69</v>
      </c>
      <c r="D31" s="37" t="s">
        <v>71</v>
      </c>
      <c r="E31" s="39">
        <v>820000</v>
      </c>
      <c r="F31" s="37">
        <v>2018</v>
      </c>
      <c r="G31" s="38" t="s">
        <v>159</v>
      </c>
      <c r="H31" s="37" t="s">
        <v>34</v>
      </c>
      <c r="I31" s="37" t="s">
        <v>35</v>
      </c>
      <c r="J31" s="37" t="s">
        <v>35</v>
      </c>
      <c r="K31" s="37" t="s">
        <v>34</v>
      </c>
      <c r="L31" s="37" t="s">
        <v>35</v>
      </c>
      <c r="P31" s="57"/>
      <c r="Q31" s="57"/>
      <c r="R31" s="121"/>
      <c r="S31" s="121"/>
      <c r="T31" s="122"/>
      <c r="U31" s="121"/>
      <c r="V31" s="121"/>
      <c r="W31" s="121"/>
      <c r="X31" s="121"/>
      <c r="Y31" s="121"/>
      <c r="Z31" s="121"/>
      <c r="AA31" s="121"/>
    </row>
    <row r="32" spans="2:29">
      <c r="B32" s="37" t="s">
        <v>160</v>
      </c>
      <c r="C32" s="32" t="s">
        <v>69</v>
      </c>
      <c r="D32" s="37" t="s">
        <v>71</v>
      </c>
      <c r="E32" s="39">
        <v>500000</v>
      </c>
      <c r="F32" s="37">
        <v>1982</v>
      </c>
      <c r="G32" s="38" t="s">
        <v>161</v>
      </c>
      <c r="H32" s="37" t="s">
        <v>34</v>
      </c>
      <c r="I32" s="37" t="s">
        <v>35</v>
      </c>
      <c r="J32" s="37" t="s">
        <v>35</v>
      </c>
      <c r="K32" s="37" t="s">
        <v>34</v>
      </c>
      <c r="L32" s="37" t="s">
        <v>34</v>
      </c>
      <c r="P32" s="57"/>
      <c r="Q32" s="57"/>
      <c r="R32" s="121"/>
      <c r="S32" s="121"/>
      <c r="T32" s="122"/>
      <c r="U32" s="121"/>
      <c r="V32" s="121"/>
      <c r="W32" s="121"/>
      <c r="X32" s="121"/>
      <c r="Y32" s="121"/>
      <c r="Z32" s="121"/>
      <c r="AA32" s="121"/>
    </row>
    <row r="33" spans="2:27">
      <c r="B33" s="37" t="s">
        <v>162</v>
      </c>
      <c r="C33" s="32" t="s">
        <v>69</v>
      </c>
      <c r="D33" s="37" t="s">
        <v>71</v>
      </c>
      <c r="E33" s="39">
        <v>514000</v>
      </c>
      <c r="F33" s="37">
        <v>1988</v>
      </c>
      <c r="G33" s="38" t="s">
        <v>163</v>
      </c>
      <c r="H33" s="37" t="s">
        <v>34</v>
      </c>
      <c r="I33" s="37" t="s">
        <v>35</v>
      </c>
      <c r="J33" s="37" t="s">
        <v>35</v>
      </c>
      <c r="K33" s="37" t="s">
        <v>34</v>
      </c>
      <c r="L33" s="37" t="s">
        <v>34</v>
      </c>
      <c r="P33" s="57"/>
      <c r="Q33" s="57"/>
      <c r="R33" s="121"/>
      <c r="S33" s="121"/>
      <c r="T33" s="122"/>
      <c r="U33" s="121"/>
      <c r="V33" s="121"/>
      <c r="W33" s="121"/>
      <c r="X33" s="121"/>
      <c r="Y33" s="121"/>
      <c r="Z33" s="121"/>
      <c r="AA33" s="121"/>
    </row>
    <row r="34" spans="2:27">
      <c r="B34" s="37" t="s">
        <v>164</v>
      </c>
      <c r="C34" s="32" t="s">
        <v>69</v>
      </c>
      <c r="D34" s="37" t="s">
        <v>71</v>
      </c>
      <c r="E34" s="39">
        <v>459888</v>
      </c>
      <c r="F34" s="37">
        <v>1977</v>
      </c>
      <c r="G34" s="38" t="s">
        <v>165</v>
      </c>
      <c r="H34" s="37" t="s">
        <v>34</v>
      </c>
      <c r="I34" s="37" t="s">
        <v>35</v>
      </c>
      <c r="J34" s="37" t="s">
        <v>35</v>
      </c>
      <c r="K34" s="37" t="s">
        <v>34</v>
      </c>
      <c r="L34" s="37" t="s">
        <v>35</v>
      </c>
      <c r="O34" s="120"/>
      <c r="P34" s="57"/>
      <c r="Q34" s="57"/>
      <c r="R34" s="121"/>
      <c r="S34" s="121"/>
      <c r="T34" s="122"/>
      <c r="U34" s="121"/>
      <c r="V34" s="121"/>
      <c r="W34" s="121"/>
      <c r="X34" s="121"/>
      <c r="Y34" s="121"/>
      <c r="Z34" s="121"/>
      <c r="AA34" s="121"/>
    </row>
    <row r="35" spans="2:27">
      <c r="B35" s="37" t="s">
        <v>166</v>
      </c>
      <c r="C35" s="32" t="s">
        <v>69</v>
      </c>
      <c r="D35" s="37" t="s">
        <v>71</v>
      </c>
      <c r="E35" s="39">
        <v>666000</v>
      </c>
      <c r="F35" s="37">
        <v>1996</v>
      </c>
      <c r="G35" s="38" t="s">
        <v>167</v>
      </c>
      <c r="H35" s="37" t="s">
        <v>34</v>
      </c>
      <c r="I35" s="37" t="s">
        <v>35</v>
      </c>
      <c r="J35" s="37" t="s">
        <v>34</v>
      </c>
      <c r="K35" s="37" t="s">
        <v>34</v>
      </c>
      <c r="L35" s="37" t="s">
        <v>34</v>
      </c>
      <c r="O35" s="120"/>
      <c r="P35" s="57"/>
      <c r="Q35" s="57"/>
      <c r="R35" s="121"/>
      <c r="S35" s="121"/>
      <c r="T35" s="122"/>
      <c r="U35" s="121"/>
      <c r="V35" s="121"/>
      <c r="W35" s="121"/>
      <c r="X35" s="121"/>
      <c r="Y35" s="121"/>
      <c r="Z35" s="121"/>
      <c r="AA35" s="121"/>
    </row>
    <row r="36" spans="2:27">
      <c r="B36" s="37" t="s">
        <v>168</v>
      </c>
      <c r="C36" s="32" t="s">
        <v>69</v>
      </c>
      <c r="D36" s="37" t="s">
        <v>14</v>
      </c>
      <c r="E36" s="39">
        <v>750000</v>
      </c>
      <c r="F36" s="37">
        <v>1984</v>
      </c>
      <c r="G36" s="38" t="s">
        <v>169</v>
      </c>
      <c r="H36" s="37" t="s">
        <v>34</v>
      </c>
      <c r="I36" s="37" t="s">
        <v>35</v>
      </c>
      <c r="J36" s="37" t="s">
        <v>35</v>
      </c>
      <c r="K36" s="37" t="s">
        <v>34</v>
      </c>
      <c r="L36" s="37" t="s">
        <v>34</v>
      </c>
      <c r="P36" s="57"/>
      <c r="Q36" s="57"/>
      <c r="R36" s="121"/>
      <c r="S36" s="121"/>
      <c r="T36" s="122"/>
      <c r="U36" s="121"/>
      <c r="V36" s="121"/>
      <c r="W36" s="121"/>
      <c r="X36" s="121"/>
      <c r="Y36" s="121"/>
      <c r="Z36" s="121"/>
      <c r="AA36" s="121"/>
    </row>
    <row r="37" spans="2:27">
      <c r="B37" s="37" t="s">
        <v>170</v>
      </c>
      <c r="C37" s="32" t="s">
        <v>69</v>
      </c>
      <c r="D37" s="37" t="s">
        <v>14</v>
      </c>
      <c r="E37" s="39">
        <v>781000</v>
      </c>
      <c r="F37" s="37">
        <v>2000</v>
      </c>
      <c r="G37" s="38" t="s">
        <v>171</v>
      </c>
      <c r="H37" s="37" t="s">
        <v>34</v>
      </c>
      <c r="I37" s="37" t="s">
        <v>35</v>
      </c>
      <c r="J37" s="37" t="s">
        <v>35</v>
      </c>
      <c r="K37" s="37" t="s">
        <v>34</v>
      </c>
      <c r="L37" s="37" t="s">
        <v>35</v>
      </c>
      <c r="P37" s="57"/>
      <c r="Q37" s="57"/>
      <c r="R37" s="121"/>
      <c r="S37" s="121"/>
      <c r="T37" s="122"/>
      <c r="U37" s="121"/>
      <c r="V37" s="121"/>
      <c r="W37" s="121"/>
      <c r="X37" s="121"/>
      <c r="Y37" s="121"/>
      <c r="Z37" s="121"/>
      <c r="AA37" s="121"/>
    </row>
    <row r="38" spans="2:27">
      <c r="B38" s="37" t="s">
        <v>172</v>
      </c>
      <c r="C38" s="32" t="s">
        <v>69</v>
      </c>
      <c r="D38" s="37" t="s">
        <v>14</v>
      </c>
      <c r="E38" s="39">
        <v>870000</v>
      </c>
      <c r="F38" s="37">
        <v>2001</v>
      </c>
      <c r="G38" s="38" t="s">
        <v>173</v>
      </c>
      <c r="H38" s="37" t="s">
        <v>34</v>
      </c>
      <c r="I38" s="37" t="s">
        <v>35</v>
      </c>
      <c r="J38" s="37" t="s">
        <v>35</v>
      </c>
      <c r="K38" s="37" t="s">
        <v>34</v>
      </c>
      <c r="L38" s="37" t="s">
        <v>35</v>
      </c>
      <c r="P38" s="57"/>
      <c r="Q38" s="57"/>
      <c r="R38" s="121"/>
      <c r="S38" s="121"/>
      <c r="T38" s="122"/>
      <c r="U38" s="121"/>
      <c r="V38" s="121"/>
      <c r="W38" s="121"/>
      <c r="X38" s="121"/>
      <c r="Y38" s="121"/>
      <c r="Z38" s="121"/>
      <c r="AA38" s="121"/>
    </row>
    <row r="39" spans="2:27">
      <c r="B39" s="37" t="s">
        <v>174</v>
      </c>
      <c r="C39" s="32" t="s">
        <v>69</v>
      </c>
      <c r="D39" s="37" t="s">
        <v>14</v>
      </c>
      <c r="E39" s="39">
        <v>810000</v>
      </c>
      <c r="F39" s="37">
        <v>1993</v>
      </c>
      <c r="G39" s="38" t="s">
        <v>175</v>
      </c>
      <c r="H39" s="37" t="s">
        <v>34</v>
      </c>
      <c r="I39" s="37" t="s">
        <v>35</v>
      </c>
      <c r="J39" s="37" t="s">
        <v>35</v>
      </c>
      <c r="K39" s="37" t="s">
        <v>34</v>
      </c>
      <c r="L39" s="37" t="s">
        <v>35</v>
      </c>
      <c r="O39" s="120"/>
      <c r="P39" s="57"/>
      <c r="Q39" s="57"/>
      <c r="R39" s="121"/>
      <c r="S39" s="121"/>
      <c r="T39" s="122"/>
      <c r="U39" s="121"/>
      <c r="V39" s="121"/>
      <c r="W39" s="121"/>
      <c r="X39" s="121"/>
      <c r="Y39" s="121"/>
      <c r="Z39" s="121"/>
      <c r="AA39" s="121"/>
    </row>
    <row r="40" spans="2:27">
      <c r="B40" s="37" t="s">
        <v>176</v>
      </c>
      <c r="C40" s="32" t="s">
        <v>69</v>
      </c>
      <c r="D40" s="37" t="s">
        <v>177</v>
      </c>
      <c r="E40" s="39">
        <v>988888</v>
      </c>
      <c r="F40" s="37">
        <v>1993</v>
      </c>
      <c r="G40" s="38" t="s">
        <v>175</v>
      </c>
      <c r="H40" s="37" t="s">
        <v>34</v>
      </c>
      <c r="I40" s="37" t="s">
        <v>35</v>
      </c>
      <c r="J40" s="37" t="s">
        <v>35</v>
      </c>
      <c r="K40" s="37" t="s">
        <v>34</v>
      </c>
      <c r="L40" s="37" t="s">
        <v>35</v>
      </c>
      <c r="O40" s="120"/>
      <c r="P40" s="57"/>
      <c r="Q40" s="57"/>
      <c r="R40" s="121"/>
      <c r="S40" s="121"/>
      <c r="T40" s="122"/>
      <c r="U40" s="121"/>
      <c r="V40" s="121"/>
      <c r="W40" s="121"/>
      <c r="X40" s="121"/>
      <c r="Y40" s="121"/>
      <c r="Z40" s="121"/>
      <c r="AA40" s="121"/>
    </row>
    <row r="41" spans="2:27">
      <c r="B41" s="37" t="s">
        <v>178</v>
      </c>
      <c r="C41" s="32" t="s">
        <v>69</v>
      </c>
      <c r="D41" s="37" t="s">
        <v>177</v>
      </c>
      <c r="E41" s="39">
        <v>950000</v>
      </c>
      <c r="F41" s="37">
        <v>1996</v>
      </c>
      <c r="G41" s="38" t="s">
        <v>179</v>
      </c>
      <c r="H41" s="37" t="s">
        <v>34</v>
      </c>
      <c r="I41" s="37" t="s">
        <v>35</v>
      </c>
      <c r="J41" s="37" t="s">
        <v>35</v>
      </c>
      <c r="K41" s="37" t="s">
        <v>34</v>
      </c>
      <c r="L41" s="37" t="s">
        <v>34</v>
      </c>
      <c r="P41" s="57"/>
      <c r="Q41" s="57"/>
      <c r="R41" s="121"/>
      <c r="S41" s="121"/>
      <c r="T41" s="122"/>
      <c r="U41" s="121"/>
      <c r="V41" s="121"/>
      <c r="W41" s="121"/>
      <c r="X41" s="121"/>
      <c r="Y41" s="121"/>
      <c r="Z41" s="121"/>
      <c r="AA41" s="121"/>
    </row>
    <row r="42" spans="2:27">
      <c r="B42" s="37" t="s">
        <v>178</v>
      </c>
      <c r="C42" s="32" t="s">
        <v>69</v>
      </c>
      <c r="D42" s="37" t="s">
        <v>177</v>
      </c>
      <c r="E42" s="39">
        <v>908888</v>
      </c>
      <c r="F42" s="37">
        <v>1996</v>
      </c>
      <c r="G42" s="38" t="s">
        <v>180</v>
      </c>
      <c r="H42" s="37" t="s">
        <v>34</v>
      </c>
      <c r="I42" s="37" t="s">
        <v>35</v>
      </c>
      <c r="J42" s="37" t="s">
        <v>35</v>
      </c>
      <c r="K42" s="37" t="s">
        <v>34</v>
      </c>
      <c r="L42" s="37" t="s">
        <v>34</v>
      </c>
      <c r="P42" s="57"/>
      <c r="Q42" s="57"/>
      <c r="R42" s="121"/>
      <c r="S42" s="121"/>
      <c r="T42" s="122"/>
      <c r="U42" s="121"/>
      <c r="V42" s="121"/>
      <c r="W42" s="121"/>
      <c r="X42" s="121"/>
      <c r="Y42" s="121"/>
      <c r="Z42" s="121"/>
      <c r="AA42" s="121"/>
    </row>
    <row r="43" spans="2:27">
      <c r="B43" s="37" t="s">
        <v>181</v>
      </c>
      <c r="C43" s="32" t="s">
        <v>182</v>
      </c>
      <c r="D43" s="37" t="s">
        <v>82</v>
      </c>
      <c r="E43" s="39">
        <v>480000</v>
      </c>
      <c r="F43" s="37">
        <v>1988</v>
      </c>
      <c r="G43" s="38" t="s">
        <v>183</v>
      </c>
      <c r="H43" s="37" t="s">
        <v>34</v>
      </c>
      <c r="I43" s="37" t="s">
        <v>34</v>
      </c>
      <c r="J43" s="37" t="s">
        <v>34</v>
      </c>
      <c r="K43" s="37" t="s">
        <v>34</v>
      </c>
      <c r="L43" s="37" t="s">
        <v>35</v>
      </c>
      <c r="P43" s="57"/>
      <c r="Q43" s="57"/>
      <c r="R43" s="121"/>
      <c r="S43" s="121"/>
      <c r="T43" s="122"/>
      <c r="U43" s="121"/>
      <c r="V43" s="121"/>
      <c r="W43" s="121"/>
      <c r="X43" s="121"/>
      <c r="Y43" s="121"/>
      <c r="Z43" s="121"/>
      <c r="AA43" s="121"/>
    </row>
    <row r="44" spans="2:27">
      <c r="B44" s="37" t="s">
        <v>184</v>
      </c>
      <c r="C44" s="32" t="s">
        <v>182</v>
      </c>
      <c r="D44" s="37" t="s">
        <v>71</v>
      </c>
      <c r="E44" s="39">
        <v>613000</v>
      </c>
      <c r="F44" s="37">
        <v>1986</v>
      </c>
      <c r="G44" s="38" t="s">
        <v>185</v>
      </c>
      <c r="H44" s="37" t="s">
        <v>34</v>
      </c>
      <c r="I44" s="37" t="s">
        <v>34</v>
      </c>
      <c r="J44" s="37" t="s">
        <v>34</v>
      </c>
      <c r="K44" s="37" t="s">
        <v>34</v>
      </c>
      <c r="L44" s="37" t="s">
        <v>35</v>
      </c>
      <c r="O44" s="120"/>
      <c r="P44" s="57"/>
      <c r="Q44" s="57"/>
      <c r="R44" s="121"/>
      <c r="S44" s="121"/>
      <c r="T44" s="122"/>
      <c r="U44" s="121"/>
      <c r="V44" s="121"/>
      <c r="W44" s="121"/>
      <c r="X44" s="121"/>
      <c r="Y44" s="121"/>
      <c r="Z44" s="121"/>
      <c r="AA44" s="121"/>
    </row>
    <row r="45" spans="2:27">
      <c r="B45" s="37" t="s">
        <v>186</v>
      </c>
      <c r="C45" s="32" t="s">
        <v>182</v>
      </c>
      <c r="D45" s="37" t="s">
        <v>71</v>
      </c>
      <c r="E45" s="39">
        <v>818000</v>
      </c>
      <c r="F45" s="37">
        <v>1992</v>
      </c>
      <c r="G45" s="38" t="s">
        <v>187</v>
      </c>
      <c r="H45" s="37" t="s">
        <v>34</v>
      </c>
      <c r="I45" s="37" t="s">
        <v>35</v>
      </c>
      <c r="J45" s="37" t="s">
        <v>34</v>
      </c>
      <c r="K45" s="37" t="s">
        <v>34</v>
      </c>
      <c r="L45" s="37" t="s">
        <v>35</v>
      </c>
      <c r="O45" s="120"/>
      <c r="P45" s="57"/>
      <c r="Q45" s="57"/>
      <c r="R45" s="121"/>
      <c r="S45" s="121"/>
      <c r="T45" s="122"/>
      <c r="U45" s="121"/>
      <c r="V45" s="121"/>
      <c r="W45" s="121"/>
      <c r="X45" s="121"/>
      <c r="Y45" s="121"/>
      <c r="Z45" s="121"/>
      <c r="AA45" s="121"/>
    </row>
    <row r="46" spans="2:27">
      <c r="B46" s="37" t="s">
        <v>188</v>
      </c>
      <c r="C46" s="32" t="s">
        <v>182</v>
      </c>
      <c r="D46" s="37" t="s">
        <v>71</v>
      </c>
      <c r="E46" s="39">
        <v>780000</v>
      </c>
      <c r="F46" s="37">
        <v>1992</v>
      </c>
      <c r="G46" s="38" t="s">
        <v>189</v>
      </c>
      <c r="H46" s="37" t="s">
        <v>34</v>
      </c>
      <c r="I46" s="37" t="s">
        <v>35</v>
      </c>
      <c r="J46" s="37" t="s">
        <v>34</v>
      </c>
      <c r="K46" s="37" t="s">
        <v>34</v>
      </c>
      <c r="L46" s="37" t="s">
        <v>35</v>
      </c>
      <c r="P46" s="57"/>
      <c r="Q46" s="57"/>
      <c r="R46" s="121"/>
      <c r="S46" s="121"/>
      <c r="T46" s="122"/>
      <c r="U46" s="121"/>
      <c r="V46" s="121"/>
      <c r="W46" s="121"/>
      <c r="X46" s="121"/>
      <c r="Y46" s="121"/>
      <c r="Z46" s="121"/>
      <c r="AA46" s="121"/>
    </row>
    <row r="47" spans="2:27">
      <c r="B47" s="37" t="s">
        <v>190</v>
      </c>
      <c r="C47" s="32" t="s">
        <v>182</v>
      </c>
      <c r="D47" s="37" t="s">
        <v>71</v>
      </c>
      <c r="E47" s="39">
        <v>680000</v>
      </c>
      <c r="F47" s="37">
        <v>1984</v>
      </c>
      <c r="G47" s="38" t="s">
        <v>191</v>
      </c>
      <c r="H47" s="37" t="s">
        <v>34</v>
      </c>
      <c r="I47" s="37" t="s">
        <v>34</v>
      </c>
      <c r="J47" s="37" t="s">
        <v>34</v>
      </c>
      <c r="K47" s="37" t="s">
        <v>34</v>
      </c>
      <c r="L47" s="37" t="s">
        <v>34</v>
      </c>
      <c r="P47" s="57"/>
      <c r="Q47" s="57"/>
      <c r="R47" s="121"/>
      <c r="S47" s="121"/>
      <c r="T47" s="122"/>
      <c r="U47" s="121"/>
      <c r="V47" s="121"/>
      <c r="W47" s="121"/>
      <c r="X47" s="121"/>
      <c r="Y47" s="121"/>
      <c r="Z47" s="121"/>
      <c r="AA47" s="121"/>
    </row>
    <row r="48" spans="2:27">
      <c r="B48" s="37" t="s">
        <v>192</v>
      </c>
      <c r="C48" s="32" t="s">
        <v>182</v>
      </c>
      <c r="D48" s="37" t="s">
        <v>14</v>
      </c>
      <c r="E48" s="39">
        <v>958000</v>
      </c>
      <c r="F48" s="37">
        <v>1987</v>
      </c>
      <c r="G48" s="38" t="s">
        <v>193</v>
      </c>
      <c r="H48" s="37" t="s">
        <v>34</v>
      </c>
      <c r="I48" s="37" t="s">
        <v>34</v>
      </c>
      <c r="J48" s="37" t="s">
        <v>34</v>
      </c>
      <c r="K48" s="37" t="s">
        <v>34</v>
      </c>
      <c r="L48" s="37" t="s">
        <v>35</v>
      </c>
      <c r="P48" s="57"/>
      <c r="Q48" s="57"/>
      <c r="R48" s="121"/>
      <c r="S48" s="121"/>
      <c r="T48" s="122"/>
      <c r="U48" s="121"/>
      <c r="V48" s="121"/>
      <c r="W48" s="121"/>
      <c r="X48" s="121"/>
      <c r="Y48" s="121"/>
      <c r="Z48" s="121"/>
      <c r="AA48" s="121"/>
    </row>
    <row r="49" spans="2:27">
      <c r="B49" s="37" t="s">
        <v>194</v>
      </c>
      <c r="C49" s="32" t="s">
        <v>182</v>
      </c>
      <c r="D49" s="37" t="s">
        <v>177</v>
      </c>
      <c r="E49" s="39">
        <v>1088888</v>
      </c>
      <c r="F49" s="37">
        <v>1988</v>
      </c>
      <c r="G49" s="38" t="s">
        <v>195</v>
      </c>
      <c r="H49" s="37" t="s">
        <v>34</v>
      </c>
      <c r="I49" s="37" t="s">
        <v>34</v>
      </c>
      <c r="J49" s="37" t="s">
        <v>34</v>
      </c>
      <c r="K49" s="37" t="s">
        <v>34</v>
      </c>
      <c r="L49" s="37" t="s">
        <v>35</v>
      </c>
      <c r="O49" s="120"/>
      <c r="P49" s="57"/>
      <c r="Q49" s="57"/>
      <c r="R49" s="121"/>
      <c r="S49" s="121"/>
      <c r="T49" s="122"/>
      <c r="U49" s="121"/>
      <c r="V49" s="121"/>
      <c r="W49" s="121"/>
      <c r="X49" s="121"/>
      <c r="Y49" s="121"/>
      <c r="Z49" s="121"/>
      <c r="AA49" s="121"/>
    </row>
    <row r="50" spans="2:27">
      <c r="B50" s="37" t="s">
        <v>196</v>
      </c>
      <c r="C50" s="32" t="s">
        <v>182</v>
      </c>
      <c r="D50" s="37" t="s">
        <v>177</v>
      </c>
      <c r="E50" s="39">
        <v>1038888</v>
      </c>
      <c r="F50" s="37">
        <v>1986</v>
      </c>
      <c r="G50" s="38" t="s">
        <v>197</v>
      </c>
      <c r="H50" s="37" t="s">
        <v>34</v>
      </c>
      <c r="I50" s="37" t="s">
        <v>35</v>
      </c>
      <c r="J50" s="37" t="s">
        <v>35</v>
      </c>
      <c r="K50" s="37" t="s">
        <v>34</v>
      </c>
      <c r="L50" s="37" t="s">
        <v>34</v>
      </c>
      <c r="O50" s="120"/>
      <c r="P50" s="57"/>
      <c r="Q50" s="57"/>
      <c r="R50" s="121"/>
      <c r="S50" s="121"/>
      <c r="T50" s="122"/>
      <c r="U50" s="121"/>
      <c r="V50" s="121"/>
      <c r="W50" s="121"/>
      <c r="X50" s="121"/>
      <c r="Y50" s="121"/>
      <c r="Z50" s="121"/>
      <c r="AA50" s="121"/>
    </row>
    <row r="51" spans="2:27">
      <c r="B51" s="37" t="s">
        <v>198</v>
      </c>
      <c r="C51" s="40" t="s">
        <v>199</v>
      </c>
      <c r="D51" s="37" t="s">
        <v>82</v>
      </c>
      <c r="E51" s="39">
        <v>354000</v>
      </c>
      <c r="F51" s="37">
        <v>1987</v>
      </c>
      <c r="G51" s="38" t="s">
        <v>200</v>
      </c>
      <c r="H51" s="37" t="s">
        <v>34</v>
      </c>
      <c r="I51" s="37" t="s">
        <v>35</v>
      </c>
      <c r="J51" s="37" t="s">
        <v>34</v>
      </c>
      <c r="K51" s="37" t="s">
        <v>34</v>
      </c>
      <c r="L51" s="37" t="s">
        <v>35</v>
      </c>
      <c r="P51" s="57"/>
      <c r="Q51" s="57"/>
      <c r="R51" s="121"/>
      <c r="S51" s="121"/>
      <c r="T51" s="122"/>
      <c r="U51" s="121"/>
      <c r="V51" s="121"/>
      <c r="W51" s="121"/>
      <c r="X51" s="121"/>
      <c r="Y51" s="121"/>
      <c r="Z51" s="121"/>
      <c r="AA51" s="121"/>
    </row>
    <row r="52" spans="2:27">
      <c r="B52" s="37" t="s">
        <v>201</v>
      </c>
      <c r="C52" s="40" t="s">
        <v>199</v>
      </c>
      <c r="D52" s="37" t="s">
        <v>82</v>
      </c>
      <c r="E52" s="39">
        <v>345000</v>
      </c>
      <c r="F52" s="37">
        <v>1998</v>
      </c>
      <c r="G52" s="38" t="s">
        <v>202</v>
      </c>
      <c r="H52" s="37" t="s">
        <v>34</v>
      </c>
      <c r="I52" s="37" t="s">
        <v>34</v>
      </c>
      <c r="J52" s="37" t="s">
        <v>34</v>
      </c>
      <c r="K52" s="37" t="s">
        <v>34</v>
      </c>
      <c r="L52" s="37" t="s">
        <v>35</v>
      </c>
      <c r="P52" s="57"/>
      <c r="Q52" s="57"/>
      <c r="R52" s="121"/>
      <c r="S52" s="121"/>
      <c r="T52" s="122"/>
      <c r="U52" s="121"/>
      <c r="V52" s="121"/>
      <c r="W52" s="121"/>
      <c r="X52" s="121"/>
      <c r="Y52" s="121"/>
      <c r="Z52" s="121"/>
      <c r="AA52" s="121"/>
    </row>
    <row r="53" spans="2:27">
      <c r="B53" s="37" t="s">
        <v>203</v>
      </c>
      <c r="C53" s="40" t="s">
        <v>199</v>
      </c>
      <c r="D53" s="37" t="s">
        <v>82</v>
      </c>
      <c r="E53" s="39">
        <v>400000</v>
      </c>
      <c r="F53" s="37">
        <v>1983</v>
      </c>
      <c r="G53" s="38" t="s">
        <v>169</v>
      </c>
      <c r="H53" s="37" t="s">
        <v>34</v>
      </c>
      <c r="I53" s="37" t="s">
        <v>35</v>
      </c>
      <c r="J53" s="37" t="s">
        <v>35</v>
      </c>
      <c r="K53" s="37" t="s">
        <v>34</v>
      </c>
      <c r="L53" s="37" t="s">
        <v>34</v>
      </c>
      <c r="P53" s="57"/>
      <c r="Q53" s="57"/>
      <c r="R53" s="121"/>
      <c r="S53" s="121"/>
      <c r="T53" s="122"/>
      <c r="U53" s="121"/>
      <c r="V53" s="121"/>
      <c r="W53" s="121"/>
      <c r="X53" s="121"/>
      <c r="Y53" s="121"/>
      <c r="Z53" s="121"/>
      <c r="AA53" s="121"/>
    </row>
    <row r="54" spans="2:27">
      <c r="B54" s="37" t="s">
        <v>204</v>
      </c>
      <c r="C54" s="40" t="s">
        <v>199</v>
      </c>
      <c r="D54" s="37" t="s">
        <v>82</v>
      </c>
      <c r="E54" s="39">
        <v>470000</v>
      </c>
      <c r="F54" s="37">
        <v>2019</v>
      </c>
      <c r="G54" s="38" t="s">
        <v>205</v>
      </c>
      <c r="H54" s="37" t="s">
        <v>34</v>
      </c>
      <c r="I54" s="37" t="s">
        <v>35</v>
      </c>
      <c r="J54" s="37" t="s">
        <v>35</v>
      </c>
      <c r="K54" s="37" t="s">
        <v>34</v>
      </c>
      <c r="L54" s="37" t="s">
        <v>34</v>
      </c>
      <c r="O54" s="120"/>
      <c r="P54" s="57"/>
      <c r="Q54" s="57"/>
      <c r="R54" s="121"/>
      <c r="S54" s="121"/>
      <c r="T54" s="122"/>
      <c r="U54" s="121"/>
      <c r="V54" s="121"/>
      <c r="W54" s="121"/>
      <c r="X54" s="121"/>
      <c r="Y54" s="121"/>
      <c r="Z54" s="121"/>
      <c r="AA54" s="121"/>
    </row>
    <row r="55" spans="2:27">
      <c r="B55" s="37" t="s">
        <v>206</v>
      </c>
      <c r="C55" s="40" t="s">
        <v>199</v>
      </c>
      <c r="D55" s="37" t="s">
        <v>82</v>
      </c>
      <c r="E55" s="39">
        <v>522000</v>
      </c>
      <c r="F55" s="37">
        <v>2019</v>
      </c>
      <c r="G55" s="38" t="s">
        <v>207</v>
      </c>
      <c r="H55" s="37" t="s">
        <v>34</v>
      </c>
      <c r="I55" s="37" t="s">
        <v>35</v>
      </c>
      <c r="J55" s="37" t="s">
        <v>34</v>
      </c>
      <c r="K55" s="37" t="s">
        <v>34</v>
      </c>
      <c r="L55" s="37" t="s">
        <v>34</v>
      </c>
      <c r="O55" s="120"/>
      <c r="P55" s="57"/>
      <c r="Q55" s="57"/>
      <c r="R55" s="121"/>
      <c r="S55" s="121"/>
      <c r="T55" s="122"/>
      <c r="U55" s="121"/>
      <c r="V55" s="121"/>
      <c r="W55" s="121"/>
      <c r="X55" s="121"/>
      <c r="Y55" s="121"/>
      <c r="Z55" s="121"/>
      <c r="AA55" s="121"/>
    </row>
    <row r="56" spans="2:27">
      <c r="B56" s="37" t="s">
        <v>208</v>
      </c>
      <c r="C56" s="40" t="s">
        <v>199</v>
      </c>
      <c r="D56" s="37" t="s">
        <v>82</v>
      </c>
      <c r="E56" s="39">
        <v>380000</v>
      </c>
      <c r="F56" s="37">
        <v>1987</v>
      </c>
      <c r="G56" s="38" t="s">
        <v>193</v>
      </c>
      <c r="H56" s="37" t="s">
        <v>34</v>
      </c>
      <c r="I56" s="37" t="s">
        <v>35</v>
      </c>
      <c r="J56" s="37" t="s">
        <v>34</v>
      </c>
      <c r="K56" s="37" t="s">
        <v>34</v>
      </c>
      <c r="L56" s="37" t="s">
        <v>34</v>
      </c>
      <c r="O56" s="57"/>
      <c r="P56" s="57"/>
      <c r="Q56" s="57"/>
      <c r="R56" s="121"/>
      <c r="S56" s="121"/>
      <c r="T56" s="122"/>
      <c r="U56" s="121"/>
      <c r="V56" s="121"/>
      <c r="W56" s="121"/>
      <c r="X56" s="121"/>
      <c r="Y56" s="121"/>
      <c r="Z56" s="121"/>
      <c r="AA56" s="121"/>
    </row>
    <row r="57" spans="2:27">
      <c r="B57" s="37" t="s">
        <v>209</v>
      </c>
      <c r="C57" s="40" t="s">
        <v>199</v>
      </c>
      <c r="D57" s="37" t="s">
        <v>82</v>
      </c>
      <c r="E57" s="39">
        <v>355000</v>
      </c>
      <c r="F57" s="37">
        <v>1987</v>
      </c>
      <c r="G57" s="38" t="s">
        <v>210</v>
      </c>
      <c r="H57" s="37" t="s">
        <v>34</v>
      </c>
      <c r="I57" s="37" t="s">
        <v>35</v>
      </c>
      <c r="J57" s="37" t="s">
        <v>34</v>
      </c>
      <c r="K57" s="37" t="s">
        <v>34</v>
      </c>
      <c r="L57" s="37" t="s">
        <v>34</v>
      </c>
      <c r="O57" s="57"/>
      <c r="P57" s="57"/>
      <c r="Q57" s="57"/>
      <c r="R57" s="121"/>
      <c r="S57" s="121"/>
      <c r="T57" s="122"/>
      <c r="U57" s="121"/>
      <c r="V57" s="121"/>
      <c r="W57" s="121"/>
      <c r="X57" s="121"/>
      <c r="Y57" s="121"/>
      <c r="Z57" s="121"/>
      <c r="AA57" s="121"/>
    </row>
    <row r="58" spans="2:27">
      <c r="B58" s="37" t="s">
        <v>211</v>
      </c>
      <c r="C58" s="40" t="s">
        <v>199</v>
      </c>
      <c r="D58" s="37" t="s">
        <v>82</v>
      </c>
      <c r="E58" s="39">
        <v>380000</v>
      </c>
      <c r="F58" s="37">
        <v>1986</v>
      </c>
      <c r="G58" s="38" t="s">
        <v>212</v>
      </c>
      <c r="H58" s="37" t="s">
        <v>34</v>
      </c>
      <c r="I58" s="37" t="s">
        <v>35</v>
      </c>
      <c r="J58" s="37" t="s">
        <v>34</v>
      </c>
      <c r="K58" s="37" t="s">
        <v>34</v>
      </c>
      <c r="L58" s="37" t="s">
        <v>35</v>
      </c>
      <c r="O58" s="57"/>
      <c r="P58" s="57"/>
      <c r="Q58" s="57"/>
      <c r="R58" s="121"/>
      <c r="S58" s="121"/>
      <c r="T58" s="122"/>
      <c r="U58" s="121"/>
      <c r="V58" s="121"/>
      <c r="W58" s="121"/>
      <c r="X58" s="121"/>
      <c r="Y58" s="121"/>
      <c r="Z58" s="121"/>
      <c r="AA58" s="121"/>
    </row>
    <row r="59" spans="2:27">
      <c r="B59" s="37" t="s">
        <v>213</v>
      </c>
      <c r="C59" s="40" t="s">
        <v>199</v>
      </c>
      <c r="D59" s="37" t="s">
        <v>82</v>
      </c>
      <c r="E59" s="39">
        <v>375000</v>
      </c>
      <c r="F59" s="37">
        <v>1986</v>
      </c>
      <c r="G59" s="38" t="s">
        <v>214</v>
      </c>
      <c r="H59" s="37" t="s">
        <v>34</v>
      </c>
      <c r="I59" s="37" t="s">
        <v>35</v>
      </c>
      <c r="J59" s="37" t="s">
        <v>34</v>
      </c>
      <c r="K59" s="37" t="s">
        <v>34</v>
      </c>
      <c r="L59" s="37" t="s">
        <v>35</v>
      </c>
      <c r="O59" s="57"/>
      <c r="P59" s="57"/>
      <c r="Q59" s="57"/>
      <c r="R59" s="121"/>
      <c r="S59" s="121"/>
      <c r="T59" s="122"/>
      <c r="U59" s="121"/>
      <c r="V59" s="121"/>
      <c r="W59" s="121"/>
      <c r="X59" s="121"/>
      <c r="Y59" s="121"/>
      <c r="Z59" s="121"/>
      <c r="AA59" s="121"/>
    </row>
    <row r="60" spans="2:27">
      <c r="B60" s="37" t="s">
        <v>215</v>
      </c>
      <c r="C60" s="40" t="s">
        <v>199</v>
      </c>
      <c r="D60" s="37" t="s">
        <v>82</v>
      </c>
      <c r="E60" s="39">
        <v>370000</v>
      </c>
      <c r="F60" s="37">
        <v>1987</v>
      </c>
      <c r="G60" s="38" t="s">
        <v>216</v>
      </c>
      <c r="H60" s="37" t="s">
        <v>34</v>
      </c>
      <c r="I60" s="37" t="s">
        <v>35</v>
      </c>
      <c r="J60" s="37" t="s">
        <v>34</v>
      </c>
      <c r="K60" s="37" t="s">
        <v>34</v>
      </c>
      <c r="L60" s="37" t="s">
        <v>34</v>
      </c>
      <c r="O60" s="57"/>
      <c r="P60" s="57"/>
      <c r="Q60" s="57"/>
      <c r="R60" s="121"/>
      <c r="S60" s="121"/>
      <c r="T60" s="122"/>
      <c r="U60" s="121"/>
      <c r="V60" s="121"/>
      <c r="W60" s="121"/>
      <c r="X60" s="121"/>
      <c r="Y60" s="121"/>
      <c r="Z60" s="121"/>
      <c r="AA60" s="121"/>
    </row>
    <row r="61" spans="2:27">
      <c r="B61" s="37" t="s">
        <v>217</v>
      </c>
      <c r="C61" s="40" t="s">
        <v>199</v>
      </c>
      <c r="D61" s="37" t="s">
        <v>82</v>
      </c>
      <c r="E61" s="39">
        <v>480000</v>
      </c>
      <c r="F61" s="37">
        <v>2019</v>
      </c>
      <c r="G61" s="38" t="s">
        <v>218</v>
      </c>
      <c r="H61" s="37" t="s">
        <v>34</v>
      </c>
      <c r="I61" s="37" t="s">
        <v>35</v>
      </c>
      <c r="J61" s="37" t="s">
        <v>35</v>
      </c>
      <c r="K61" s="37" t="s">
        <v>34</v>
      </c>
      <c r="L61" s="37" t="s">
        <v>35</v>
      </c>
      <c r="O61" s="57"/>
      <c r="P61" s="57"/>
      <c r="Q61" s="57"/>
      <c r="R61" s="121"/>
      <c r="S61" s="121"/>
      <c r="T61" s="122"/>
      <c r="U61" s="121"/>
      <c r="V61" s="121"/>
      <c r="W61" s="121"/>
      <c r="X61" s="121"/>
      <c r="Y61" s="121"/>
      <c r="Z61" s="121"/>
      <c r="AA61" s="121"/>
    </row>
    <row r="62" spans="2:27">
      <c r="B62" s="37" t="s">
        <v>219</v>
      </c>
      <c r="C62" s="40" t="s">
        <v>199</v>
      </c>
      <c r="D62" s="37" t="s">
        <v>71</v>
      </c>
      <c r="E62" s="39">
        <v>445000</v>
      </c>
      <c r="F62" s="37">
        <v>1985</v>
      </c>
      <c r="G62" s="38" t="s">
        <v>220</v>
      </c>
      <c r="H62" s="37" t="s">
        <v>34</v>
      </c>
      <c r="I62" s="37" t="s">
        <v>35</v>
      </c>
      <c r="J62" s="37" t="s">
        <v>35</v>
      </c>
      <c r="K62" s="37" t="s">
        <v>34</v>
      </c>
      <c r="L62" s="37" t="s">
        <v>35</v>
      </c>
      <c r="O62" s="57"/>
      <c r="P62" s="57"/>
      <c r="Q62" s="57"/>
      <c r="R62" s="121"/>
      <c r="S62" s="121"/>
      <c r="T62" s="122"/>
      <c r="U62" s="121"/>
      <c r="V62" s="121"/>
      <c r="W62" s="121"/>
      <c r="X62" s="121"/>
      <c r="Y62" s="121"/>
      <c r="Z62" s="121"/>
      <c r="AA62" s="121"/>
    </row>
    <row r="63" spans="2:27">
      <c r="B63" s="37" t="s">
        <v>221</v>
      </c>
      <c r="C63" s="40" t="s">
        <v>199</v>
      </c>
      <c r="D63" s="37" t="s">
        <v>71</v>
      </c>
      <c r="E63" s="39">
        <v>640000</v>
      </c>
      <c r="F63" s="37">
        <v>2018</v>
      </c>
      <c r="G63" s="38" t="s">
        <v>140</v>
      </c>
      <c r="H63" s="37" t="s">
        <v>34</v>
      </c>
      <c r="I63" s="37" t="s">
        <v>35</v>
      </c>
      <c r="J63" s="37" t="s">
        <v>35</v>
      </c>
      <c r="K63" s="37" t="s">
        <v>34</v>
      </c>
      <c r="L63" s="37" t="s">
        <v>35</v>
      </c>
      <c r="O63" s="57"/>
      <c r="P63" s="57"/>
      <c r="Q63" s="57"/>
      <c r="R63" s="121"/>
      <c r="S63" s="121"/>
      <c r="T63" s="122"/>
      <c r="U63" s="121"/>
      <c r="V63" s="121"/>
      <c r="W63" s="121"/>
      <c r="X63" s="121"/>
      <c r="Y63" s="121"/>
      <c r="Z63" s="121"/>
      <c r="AA63" s="121"/>
    </row>
    <row r="64" spans="2:27">
      <c r="B64" s="37" t="s">
        <v>222</v>
      </c>
      <c r="C64" s="40" t="s">
        <v>199</v>
      </c>
      <c r="D64" s="37" t="s">
        <v>71</v>
      </c>
      <c r="E64" s="39">
        <v>538000</v>
      </c>
      <c r="F64" s="37">
        <v>2004</v>
      </c>
      <c r="G64" s="38" t="s">
        <v>223</v>
      </c>
      <c r="H64" s="37" t="s">
        <v>34</v>
      </c>
      <c r="I64" s="37" t="s">
        <v>35</v>
      </c>
      <c r="J64" s="37" t="s">
        <v>34</v>
      </c>
      <c r="K64" s="37" t="s">
        <v>34</v>
      </c>
      <c r="L64" s="37" t="s">
        <v>34</v>
      </c>
      <c r="O64" s="57"/>
      <c r="P64" s="57"/>
      <c r="Q64" s="57"/>
      <c r="R64" s="121"/>
      <c r="S64" s="121"/>
      <c r="T64" s="122"/>
      <c r="U64" s="121"/>
      <c r="V64" s="121"/>
      <c r="W64" s="121"/>
      <c r="X64" s="121"/>
      <c r="Y64" s="121"/>
      <c r="Z64" s="121"/>
      <c r="AA64" s="121"/>
    </row>
    <row r="65" spans="2:27">
      <c r="B65" s="37" t="s">
        <v>224</v>
      </c>
      <c r="C65" s="40" t="s">
        <v>199</v>
      </c>
      <c r="D65" s="37" t="s">
        <v>71</v>
      </c>
      <c r="E65" s="39">
        <v>590000</v>
      </c>
      <c r="F65" s="37">
        <v>2020</v>
      </c>
      <c r="G65" s="38" t="s">
        <v>225</v>
      </c>
      <c r="H65" s="37" t="s">
        <v>34</v>
      </c>
      <c r="I65" s="37" t="s">
        <v>35</v>
      </c>
      <c r="J65" s="37" t="s">
        <v>35</v>
      </c>
      <c r="K65" s="37" t="s">
        <v>34</v>
      </c>
      <c r="L65" s="37" t="s">
        <v>35</v>
      </c>
      <c r="O65" s="57"/>
      <c r="P65" s="57"/>
      <c r="Q65" s="57"/>
      <c r="R65" s="121"/>
      <c r="S65" s="121"/>
      <c r="T65" s="122"/>
      <c r="U65" s="121"/>
      <c r="V65" s="121"/>
      <c r="W65" s="121"/>
      <c r="X65" s="121"/>
      <c r="Y65" s="121"/>
      <c r="Z65" s="121"/>
      <c r="AA65" s="121"/>
    </row>
    <row r="66" spans="2:27">
      <c r="B66" s="37" t="s">
        <v>226</v>
      </c>
      <c r="C66" s="40" t="s">
        <v>199</v>
      </c>
      <c r="D66" s="37" t="s">
        <v>71</v>
      </c>
      <c r="E66" s="39">
        <v>650000</v>
      </c>
      <c r="F66" s="37">
        <v>2019</v>
      </c>
      <c r="G66" s="38" t="s">
        <v>218</v>
      </c>
      <c r="H66" s="37" t="s">
        <v>35</v>
      </c>
      <c r="I66" s="37" t="s">
        <v>35</v>
      </c>
      <c r="J66" s="37" t="s">
        <v>34</v>
      </c>
      <c r="K66" s="37" t="s">
        <v>34</v>
      </c>
      <c r="L66" s="37" t="s">
        <v>35</v>
      </c>
      <c r="O66" s="57"/>
      <c r="P66" s="57"/>
      <c r="Q66" s="57"/>
      <c r="R66" s="121"/>
      <c r="S66" s="121"/>
      <c r="T66" s="122"/>
      <c r="U66" s="121"/>
      <c r="V66" s="121"/>
      <c r="W66" s="121"/>
      <c r="X66" s="121"/>
      <c r="Y66" s="121"/>
      <c r="Z66" s="121"/>
      <c r="AA66" s="121"/>
    </row>
    <row r="67" spans="2:27">
      <c r="B67" s="37" t="s">
        <v>227</v>
      </c>
      <c r="C67" s="40" t="s">
        <v>199</v>
      </c>
      <c r="D67" s="37" t="s">
        <v>71</v>
      </c>
      <c r="E67" s="39">
        <v>635000</v>
      </c>
      <c r="F67" s="37">
        <v>2019</v>
      </c>
      <c r="G67" s="38" t="s">
        <v>207</v>
      </c>
      <c r="H67" s="37" t="s">
        <v>34</v>
      </c>
      <c r="I67" s="37" t="s">
        <v>35</v>
      </c>
      <c r="J67" s="37" t="s">
        <v>34</v>
      </c>
      <c r="K67" s="37" t="s">
        <v>34</v>
      </c>
      <c r="L67" s="37" t="s">
        <v>35</v>
      </c>
      <c r="O67" s="57"/>
      <c r="P67" s="57"/>
      <c r="Q67" s="57"/>
      <c r="R67" s="121"/>
      <c r="S67" s="121"/>
      <c r="T67" s="122"/>
      <c r="U67" s="121"/>
      <c r="V67" s="121"/>
      <c r="W67" s="121"/>
      <c r="X67" s="121"/>
      <c r="Y67" s="121"/>
      <c r="Z67" s="121"/>
      <c r="AA67" s="121"/>
    </row>
    <row r="68" spans="2:27">
      <c r="B68" s="37" t="s">
        <v>228</v>
      </c>
      <c r="C68" s="40" t="s">
        <v>199</v>
      </c>
      <c r="D68" s="37" t="s">
        <v>71</v>
      </c>
      <c r="E68" s="39">
        <v>559500</v>
      </c>
      <c r="F68" s="37">
        <v>2020</v>
      </c>
      <c r="G68" s="38" t="s">
        <v>229</v>
      </c>
      <c r="H68" s="37" t="s">
        <v>34</v>
      </c>
      <c r="I68" s="37" t="s">
        <v>35</v>
      </c>
      <c r="J68" s="37" t="s">
        <v>35</v>
      </c>
      <c r="K68" s="37" t="s">
        <v>34</v>
      </c>
      <c r="L68" s="37" t="s">
        <v>35</v>
      </c>
      <c r="O68" s="57"/>
      <c r="P68" s="57"/>
      <c r="Q68" s="57"/>
      <c r="R68" s="121"/>
      <c r="S68" s="121"/>
      <c r="T68" s="122"/>
      <c r="U68" s="121"/>
      <c r="V68" s="121"/>
      <c r="W68" s="121"/>
      <c r="X68" s="121"/>
      <c r="Y68" s="121"/>
      <c r="Z68" s="121"/>
      <c r="AA68" s="121"/>
    </row>
    <row r="69" spans="2:27">
      <c r="B69" s="37" t="s">
        <v>230</v>
      </c>
      <c r="C69" s="40" t="s">
        <v>199</v>
      </c>
      <c r="D69" s="37" t="s">
        <v>14</v>
      </c>
      <c r="E69" s="39">
        <v>722000</v>
      </c>
      <c r="F69" s="37">
        <v>1995</v>
      </c>
      <c r="G69" s="38" t="s">
        <v>231</v>
      </c>
      <c r="H69" s="37" t="s">
        <v>34</v>
      </c>
      <c r="I69" s="37" t="s">
        <v>35</v>
      </c>
      <c r="J69" s="37" t="s">
        <v>34</v>
      </c>
      <c r="K69" s="37" t="s">
        <v>34</v>
      </c>
      <c r="L69" s="37" t="s">
        <v>35</v>
      </c>
      <c r="O69" s="57"/>
      <c r="P69" s="57"/>
      <c r="Q69" s="57"/>
      <c r="R69" s="121"/>
      <c r="S69" s="121"/>
      <c r="T69" s="122"/>
      <c r="U69" s="121"/>
      <c r="V69" s="121"/>
      <c r="W69" s="121"/>
      <c r="X69" s="121"/>
      <c r="Y69" s="121"/>
      <c r="Z69" s="121"/>
      <c r="AA69" s="121"/>
    </row>
    <row r="70" spans="2:27">
      <c r="B70" s="37" t="s">
        <v>232</v>
      </c>
      <c r="C70" s="40" t="s">
        <v>199</v>
      </c>
      <c r="D70" s="37" t="s">
        <v>14</v>
      </c>
      <c r="E70" s="39">
        <v>718888</v>
      </c>
      <c r="F70" s="37">
        <v>1985</v>
      </c>
      <c r="G70" s="38" t="s">
        <v>233</v>
      </c>
      <c r="H70" s="37" t="s">
        <v>34</v>
      </c>
      <c r="I70" s="37" t="s">
        <v>34</v>
      </c>
      <c r="J70" s="37" t="s">
        <v>34</v>
      </c>
      <c r="K70" s="37" t="s">
        <v>34</v>
      </c>
      <c r="L70" s="37" t="s">
        <v>34</v>
      </c>
      <c r="O70" s="57"/>
      <c r="P70" s="57"/>
      <c r="Q70" s="57"/>
      <c r="R70" s="121"/>
      <c r="S70" s="121"/>
      <c r="T70" s="122"/>
      <c r="U70" s="121"/>
      <c r="V70" s="121"/>
      <c r="W70" s="121"/>
      <c r="X70" s="121"/>
      <c r="Y70" s="121"/>
      <c r="Z70" s="121"/>
      <c r="AA70" s="121"/>
    </row>
    <row r="71" spans="2:27">
      <c r="B71" s="37" t="s">
        <v>234</v>
      </c>
      <c r="C71" s="40" t="s">
        <v>199</v>
      </c>
      <c r="D71" s="37" t="s">
        <v>14</v>
      </c>
      <c r="E71" s="39">
        <v>813000</v>
      </c>
      <c r="F71" s="37">
        <v>2019</v>
      </c>
      <c r="G71" s="38" t="s">
        <v>218</v>
      </c>
      <c r="H71" s="37" t="s">
        <v>34</v>
      </c>
      <c r="I71" s="37" t="s">
        <v>35</v>
      </c>
      <c r="J71" s="37" t="s">
        <v>35</v>
      </c>
      <c r="K71" s="37" t="s">
        <v>34</v>
      </c>
      <c r="L71" s="37" t="s">
        <v>35</v>
      </c>
      <c r="O71" s="57"/>
      <c r="P71" s="57"/>
      <c r="Q71" s="57"/>
      <c r="R71" s="121"/>
      <c r="S71" s="121"/>
      <c r="T71" s="122"/>
      <c r="U71" s="121"/>
      <c r="V71" s="121"/>
      <c r="W71" s="121"/>
      <c r="X71" s="121"/>
      <c r="Y71" s="121"/>
      <c r="Z71" s="121"/>
      <c r="AA71" s="121"/>
    </row>
    <row r="72" spans="2:27">
      <c r="B72" s="37" t="s">
        <v>235</v>
      </c>
      <c r="C72" s="40" t="s">
        <v>199</v>
      </c>
      <c r="D72" s="37" t="s">
        <v>14</v>
      </c>
      <c r="E72" s="39">
        <v>693000</v>
      </c>
      <c r="F72" s="37">
        <v>2019</v>
      </c>
      <c r="G72" s="38" t="s">
        <v>236</v>
      </c>
      <c r="H72" s="37" t="s">
        <v>34</v>
      </c>
      <c r="I72" s="37" t="s">
        <v>35</v>
      </c>
      <c r="J72" s="37" t="s">
        <v>35</v>
      </c>
      <c r="K72" s="37" t="s">
        <v>34</v>
      </c>
      <c r="L72" s="37" t="s">
        <v>35</v>
      </c>
      <c r="O72" s="57"/>
      <c r="P72" s="57"/>
      <c r="Q72" s="57"/>
      <c r="R72" s="121"/>
      <c r="S72" s="121"/>
      <c r="T72" s="122"/>
      <c r="U72" s="121"/>
      <c r="V72" s="121"/>
      <c r="W72" s="121"/>
      <c r="X72" s="121"/>
      <c r="Y72" s="121"/>
      <c r="Z72" s="121"/>
      <c r="AA72" s="121"/>
    </row>
    <row r="73" spans="2:27">
      <c r="B73" s="37" t="s">
        <v>237</v>
      </c>
      <c r="C73" s="32" t="s">
        <v>238</v>
      </c>
      <c r="D73" s="37" t="s">
        <v>31</v>
      </c>
      <c r="E73" s="39">
        <v>255000</v>
      </c>
      <c r="F73" s="37">
        <v>1970</v>
      </c>
      <c r="G73" s="38" t="s">
        <v>239</v>
      </c>
      <c r="H73" s="37" t="s">
        <v>34</v>
      </c>
      <c r="I73" s="37" t="s">
        <v>34</v>
      </c>
      <c r="J73" s="37" t="s">
        <v>34</v>
      </c>
      <c r="K73" s="37" t="s">
        <v>34</v>
      </c>
      <c r="L73" s="37" t="s">
        <v>34</v>
      </c>
      <c r="O73" s="57"/>
      <c r="P73" s="57"/>
      <c r="Q73" s="57"/>
      <c r="R73" s="121"/>
      <c r="S73" s="121"/>
      <c r="T73" s="122"/>
      <c r="U73" s="121"/>
      <c r="V73" s="121"/>
      <c r="W73" s="121"/>
      <c r="X73" s="121"/>
      <c r="Y73" s="121"/>
      <c r="Z73" s="121"/>
      <c r="AA73" s="121"/>
    </row>
    <row r="74" spans="2:27">
      <c r="B74" s="37" t="s">
        <v>240</v>
      </c>
      <c r="C74" s="32" t="s">
        <v>238</v>
      </c>
      <c r="D74" s="37" t="s">
        <v>82</v>
      </c>
      <c r="E74" s="39">
        <v>757500</v>
      </c>
      <c r="F74" s="37">
        <v>2019</v>
      </c>
      <c r="G74" s="38" t="s">
        <v>241</v>
      </c>
      <c r="H74" s="37" t="s">
        <v>34</v>
      </c>
      <c r="I74" s="37" t="s">
        <v>34</v>
      </c>
      <c r="J74" s="37" t="s">
        <v>34</v>
      </c>
      <c r="K74" s="37" t="s">
        <v>34</v>
      </c>
      <c r="L74" s="37" t="s">
        <v>35</v>
      </c>
      <c r="O74" s="57"/>
      <c r="P74" s="57"/>
      <c r="Q74" s="57"/>
      <c r="R74" s="121"/>
      <c r="S74" s="121"/>
      <c r="T74" s="122"/>
      <c r="U74" s="121"/>
      <c r="V74" s="121"/>
      <c r="W74" s="121"/>
      <c r="X74" s="121"/>
      <c r="Y74" s="121"/>
      <c r="Z74" s="121"/>
      <c r="AA74" s="121"/>
    </row>
    <row r="75" spans="2:27">
      <c r="B75" s="37" t="s">
        <v>242</v>
      </c>
      <c r="C75" s="32" t="s">
        <v>238</v>
      </c>
      <c r="D75" s="37" t="s">
        <v>82</v>
      </c>
      <c r="E75" s="39">
        <v>410000</v>
      </c>
      <c r="F75" s="37">
        <v>1978</v>
      </c>
      <c r="G75" s="38" t="s">
        <v>243</v>
      </c>
      <c r="H75" s="37" t="s">
        <v>34</v>
      </c>
      <c r="I75" s="37" t="s">
        <v>35</v>
      </c>
      <c r="J75" s="37" t="s">
        <v>34</v>
      </c>
      <c r="K75" s="37" t="s">
        <v>34</v>
      </c>
      <c r="L75" s="37" t="s">
        <v>35</v>
      </c>
      <c r="O75" s="57"/>
      <c r="P75" s="57"/>
      <c r="Q75" s="57"/>
      <c r="R75" s="121"/>
      <c r="S75" s="121"/>
      <c r="T75" s="122"/>
      <c r="U75" s="121"/>
      <c r="V75" s="121"/>
      <c r="W75" s="121"/>
      <c r="X75" s="121"/>
      <c r="Y75" s="121"/>
      <c r="Z75" s="121"/>
      <c r="AA75" s="121"/>
    </row>
    <row r="76" spans="2:27">
      <c r="B76" s="37" t="s">
        <v>244</v>
      </c>
      <c r="C76" s="32" t="s">
        <v>238</v>
      </c>
      <c r="D76" s="37" t="s">
        <v>82</v>
      </c>
      <c r="E76" s="39">
        <v>650000</v>
      </c>
      <c r="F76" s="37">
        <v>2017</v>
      </c>
      <c r="G76" s="38" t="s">
        <v>245</v>
      </c>
      <c r="H76" s="37" t="s">
        <v>34</v>
      </c>
      <c r="I76" s="37" t="s">
        <v>35</v>
      </c>
      <c r="J76" s="37" t="s">
        <v>34</v>
      </c>
      <c r="K76" s="37" t="s">
        <v>34</v>
      </c>
      <c r="L76" s="37" t="s">
        <v>35</v>
      </c>
      <c r="O76" s="57"/>
      <c r="P76" s="57"/>
      <c r="Q76" s="57"/>
      <c r="R76" s="121"/>
      <c r="S76" s="121"/>
      <c r="T76" s="122"/>
      <c r="U76" s="121"/>
      <c r="V76" s="121"/>
      <c r="W76" s="121"/>
      <c r="X76" s="121"/>
      <c r="Y76" s="121"/>
      <c r="Z76" s="121"/>
      <c r="AA76" s="121"/>
    </row>
    <row r="77" spans="2:27">
      <c r="B77" s="37" t="s">
        <v>246</v>
      </c>
      <c r="C77" s="32" t="s">
        <v>238</v>
      </c>
      <c r="D77" s="37" t="s">
        <v>71</v>
      </c>
      <c r="E77" s="39">
        <v>870000</v>
      </c>
      <c r="F77" s="37">
        <v>2008</v>
      </c>
      <c r="G77" s="38" t="s">
        <v>247</v>
      </c>
      <c r="H77" s="37" t="s">
        <v>34</v>
      </c>
      <c r="I77" s="37" t="s">
        <v>35</v>
      </c>
      <c r="J77" s="37" t="s">
        <v>34</v>
      </c>
      <c r="K77" s="37" t="s">
        <v>34</v>
      </c>
      <c r="L77" s="37" t="s">
        <v>35</v>
      </c>
      <c r="O77" s="57"/>
      <c r="P77" s="57"/>
      <c r="Q77" s="57"/>
      <c r="R77" s="121"/>
      <c r="S77" s="121"/>
      <c r="T77" s="122"/>
      <c r="U77" s="121"/>
      <c r="V77" s="121"/>
      <c r="W77" s="121"/>
      <c r="X77" s="121"/>
      <c r="Y77" s="121"/>
      <c r="Z77" s="121"/>
      <c r="AA77" s="121"/>
    </row>
    <row r="78" spans="2:27">
      <c r="B78" s="37" t="s">
        <v>248</v>
      </c>
      <c r="C78" s="32" t="s">
        <v>238</v>
      </c>
      <c r="D78" s="37" t="s">
        <v>71</v>
      </c>
      <c r="E78" s="39">
        <v>920000</v>
      </c>
      <c r="F78" s="37">
        <v>2008</v>
      </c>
      <c r="G78" s="38" t="s">
        <v>249</v>
      </c>
      <c r="H78" s="37" t="s">
        <v>34</v>
      </c>
      <c r="I78" s="37" t="s">
        <v>35</v>
      </c>
      <c r="J78" s="37" t="s">
        <v>34</v>
      </c>
      <c r="K78" s="37" t="s">
        <v>34</v>
      </c>
      <c r="L78" s="37" t="s">
        <v>35</v>
      </c>
      <c r="O78" s="57"/>
      <c r="P78" s="57"/>
      <c r="Q78" s="57"/>
      <c r="R78" s="121"/>
      <c r="S78" s="121"/>
      <c r="T78" s="122"/>
      <c r="U78" s="121"/>
      <c r="V78" s="121"/>
      <c r="W78" s="121"/>
      <c r="X78" s="121"/>
      <c r="Y78" s="121"/>
      <c r="Z78" s="121"/>
      <c r="AA78" s="121"/>
    </row>
    <row r="79" spans="2:27">
      <c r="B79" s="37" t="s">
        <v>250</v>
      </c>
      <c r="C79" s="32" t="s">
        <v>238</v>
      </c>
      <c r="D79" s="37" t="s">
        <v>71</v>
      </c>
      <c r="E79" s="39">
        <v>699000</v>
      </c>
      <c r="F79" s="37">
        <v>2001</v>
      </c>
      <c r="G79" s="38" t="s">
        <v>173</v>
      </c>
      <c r="H79" s="37" t="s">
        <v>34</v>
      </c>
      <c r="I79" s="37" t="s">
        <v>34</v>
      </c>
      <c r="J79" s="37" t="s">
        <v>34</v>
      </c>
      <c r="K79" s="37" t="s">
        <v>34</v>
      </c>
      <c r="L79" s="37" t="s">
        <v>34</v>
      </c>
      <c r="O79" s="57"/>
      <c r="P79" s="57"/>
      <c r="Q79" s="57"/>
      <c r="R79" s="121"/>
      <c r="S79" s="121"/>
      <c r="T79" s="122"/>
      <c r="U79" s="121"/>
      <c r="V79" s="121"/>
      <c r="W79" s="121"/>
      <c r="X79" s="121"/>
      <c r="Y79" s="121"/>
      <c r="Z79" s="121"/>
      <c r="AA79" s="121"/>
    </row>
    <row r="80" spans="2:27">
      <c r="B80" s="37" t="s">
        <v>251</v>
      </c>
      <c r="C80" s="32" t="s">
        <v>238</v>
      </c>
      <c r="D80" s="37" t="s">
        <v>71</v>
      </c>
      <c r="E80" s="39">
        <v>850000</v>
      </c>
      <c r="F80" s="37">
        <v>2007</v>
      </c>
      <c r="G80" s="38" t="s">
        <v>252</v>
      </c>
      <c r="H80" s="37" t="s">
        <v>34</v>
      </c>
      <c r="I80" s="37" t="s">
        <v>34</v>
      </c>
      <c r="J80" s="37" t="s">
        <v>34</v>
      </c>
      <c r="K80" s="37" t="s">
        <v>34</v>
      </c>
      <c r="L80" s="37" t="s">
        <v>34</v>
      </c>
      <c r="O80" s="57"/>
      <c r="P80" s="57"/>
      <c r="Q80" s="57"/>
      <c r="R80" s="121"/>
      <c r="S80" s="121"/>
      <c r="T80" s="122"/>
      <c r="U80" s="121"/>
      <c r="V80" s="121"/>
      <c r="W80" s="121"/>
      <c r="X80" s="121"/>
      <c r="Y80" s="121"/>
      <c r="Z80" s="121"/>
      <c r="AA80" s="121"/>
    </row>
    <row r="81" spans="2:27">
      <c r="B81" s="37" t="s">
        <v>253</v>
      </c>
      <c r="C81" s="32" t="s">
        <v>238</v>
      </c>
      <c r="D81" s="37" t="s">
        <v>71</v>
      </c>
      <c r="E81" s="39">
        <v>800000</v>
      </c>
      <c r="F81" s="37">
        <v>2018</v>
      </c>
      <c r="G81" s="38" t="s">
        <v>159</v>
      </c>
      <c r="H81" s="37" t="s">
        <v>34</v>
      </c>
      <c r="I81" s="37" t="s">
        <v>35</v>
      </c>
      <c r="J81" s="37" t="s">
        <v>34</v>
      </c>
      <c r="K81" s="37" t="s">
        <v>34</v>
      </c>
      <c r="L81" s="37" t="s">
        <v>35</v>
      </c>
      <c r="O81" s="57"/>
      <c r="P81" s="57"/>
      <c r="Q81" s="57"/>
      <c r="R81" s="121"/>
      <c r="S81" s="121"/>
      <c r="T81" s="122"/>
      <c r="U81" s="121"/>
      <c r="V81" s="121"/>
      <c r="W81" s="121"/>
      <c r="X81" s="121"/>
      <c r="Y81" s="121"/>
      <c r="Z81" s="121"/>
      <c r="AA81" s="121"/>
    </row>
    <row r="82" spans="2:27">
      <c r="B82" s="37" t="s">
        <v>254</v>
      </c>
      <c r="C82" s="32" t="s">
        <v>238</v>
      </c>
      <c r="D82" s="37" t="s">
        <v>71</v>
      </c>
      <c r="E82" s="39">
        <v>938000</v>
      </c>
      <c r="F82" s="37">
        <v>2013</v>
      </c>
      <c r="G82" s="38" t="s">
        <v>255</v>
      </c>
      <c r="H82" s="37" t="s">
        <v>34</v>
      </c>
      <c r="I82" s="37" t="s">
        <v>35</v>
      </c>
      <c r="J82" s="37" t="s">
        <v>34</v>
      </c>
      <c r="K82" s="37" t="s">
        <v>34</v>
      </c>
      <c r="L82" s="37" t="s">
        <v>35</v>
      </c>
      <c r="O82" s="57"/>
      <c r="P82" s="57"/>
      <c r="Q82" s="57"/>
      <c r="R82" s="121"/>
      <c r="S82" s="121"/>
      <c r="T82" s="122"/>
      <c r="U82" s="121"/>
      <c r="V82" s="121"/>
      <c r="W82" s="121"/>
      <c r="X82" s="121"/>
      <c r="Y82" s="121"/>
      <c r="Z82" s="121"/>
      <c r="AA82" s="121"/>
    </row>
    <row r="83" spans="2:27">
      <c r="B83" s="37" t="s">
        <v>256</v>
      </c>
      <c r="C83" s="32" t="s">
        <v>238</v>
      </c>
      <c r="D83" s="37" t="s">
        <v>71</v>
      </c>
      <c r="E83" s="39">
        <v>850000</v>
      </c>
      <c r="F83" s="37">
        <v>2018</v>
      </c>
      <c r="G83" s="38" t="s">
        <v>257</v>
      </c>
      <c r="H83" s="37" t="s">
        <v>34</v>
      </c>
      <c r="I83" s="37" t="s">
        <v>35</v>
      </c>
      <c r="J83" s="37" t="s">
        <v>34</v>
      </c>
      <c r="K83" s="37" t="s">
        <v>34</v>
      </c>
      <c r="L83" s="37" t="s">
        <v>35</v>
      </c>
      <c r="O83" s="57"/>
      <c r="P83" s="57"/>
      <c r="Q83" s="57"/>
      <c r="R83" s="121"/>
      <c r="S83" s="121"/>
      <c r="T83" s="122"/>
      <c r="U83" s="121"/>
      <c r="V83" s="121"/>
      <c r="W83" s="121"/>
      <c r="X83" s="121"/>
      <c r="Y83" s="121"/>
      <c r="Z83" s="121"/>
      <c r="AA83" s="121"/>
    </row>
    <row r="84" spans="2:27">
      <c r="B84" s="37" t="s">
        <v>258</v>
      </c>
      <c r="C84" s="32" t="s">
        <v>238</v>
      </c>
      <c r="D84" s="37" t="s">
        <v>71</v>
      </c>
      <c r="E84" s="39">
        <v>900000</v>
      </c>
      <c r="F84" s="37">
        <v>2018</v>
      </c>
      <c r="G84" s="38" t="s">
        <v>257</v>
      </c>
      <c r="H84" s="37" t="s">
        <v>34</v>
      </c>
      <c r="I84" s="37" t="s">
        <v>35</v>
      </c>
      <c r="J84" s="37" t="s">
        <v>34</v>
      </c>
      <c r="K84" s="37" t="s">
        <v>34</v>
      </c>
      <c r="L84" s="37" t="s">
        <v>35</v>
      </c>
      <c r="O84" s="57"/>
      <c r="P84" s="57"/>
      <c r="Q84" s="57"/>
      <c r="R84" s="121"/>
      <c r="S84" s="121"/>
      <c r="T84" s="122"/>
      <c r="U84" s="121"/>
      <c r="V84" s="121"/>
      <c r="W84" s="121"/>
      <c r="X84" s="121"/>
      <c r="Y84" s="121"/>
      <c r="Z84" s="121"/>
      <c r="AA84" s="121"/>
    </row>
    <row r="85" spans="2:27">
      <c r="B85" s="37" t="s">
        <v>259</v>
      </c>
      <c r="C85" s="32" t="s">
        <v>238</v>
      </c>
      <c r="D85" s="37" t="s">
        <v>14</v>
      </c>
      <c r="E85" s="39">
        <v>828000</v>
      </c>
      <c r="F85" s="37">
        <v>1980</v>
      </c>
      <c r="G85" s="38" t="s">
        <v>260</v>
      </c>
      <c r="H85" s="37" t="s">
        <v>34</v>
      </c>
      <c r="I85" s="37" t="s">
        <v>34</v>
      </c>
      <c r="J85" s="37" t="s">
        <v>34</v>
      </c>
      <c r="K85" s="37" t="s">
        <v>34</v>
      </c>
      <c r="L85" s="37" t="s">
        <v>34</v>
      </c>
      <c r="O85" s="57"/>
      <c r="P85" s="57"/>
      <c r="Q85" s="57"/>
      <c r="R85" s="121"/>
      <c r="S85" s="121"/>
      <c r="T85" s="122"/>
      <c r="U85" s="121"/>
      <c r="V85" s="121"/>
      <c r="W85" s="121"/>
      <c r="X85" s="121"/>
      <c r="Y85" s="121"/>
      <c r="Z85" s="121"/>
      <c r="AA85" s="121"/>
    </row>
    <row r="86" spans="2:27">
      <c r="B86" s="37" t="s">
        <v>248</v>
      </c>
      <c r="C86" s="32" t="s">
        <v>238</v>
      </c>
      <c r="D86" s="37" t="s">
        <v>14</v>
      </c>
      <c r="E86" s="39">
        <v>1100000</v>
      </c>
      <c r="F86" s="37">
        <v>2008</v>
      </c>
      <c r="G86" s="38" t="s">
        <v>249</v>
      </c>
      <c r="H86" s="37" t="s">
        <v>34</v>
      </c>
      <c r="I86" s="37" t="s">
        <v>34</v>
      </c>
      <c r="J86" s="37" t="s">
        <v>34</v>
      </c>
      <c r="K86" s="37" t="s">
        <v>34</v>
      </c>
      <c r="L86" s="37" t="s">
        <v>35</v>
      </c>
      <c r="O86" s="57"/>
      <c r="P86" s="57"/>
      <c r="Q86" s="57"/>
      <c r="R86" s="121"/>
      <c r="S86" s="121"/>
      <c r="T86" s="122"/>
      <c r="U86" s="121"/>
      <c r="V86" s="121"/>
      <c r="W86" s="121"/>
      <c r="X86" s="121"/>
      <c r="Y86" s="121"/>
      <c r="Z86" s="121"/>
      <c r="AA86" s="121"/>
    </row>
    <row r="87" spans="2:27">
      <c r="B87" s="37" t="s">
        <v>261</v>
      </c>
      <c r="C87" s="32" t="s">
        <v>238</v>
      </c>
      <c r="D87" s="37" t="s">
        <v>14</v>
      </c>
      <c r="E87" s="39">
        <v>988888</v>
      </c>
      <c r="F87" s="37">
        <v>2002</v>
      </c>
      <c r="G87" s="38" t="s">
        <v>262</v>
      </c>
      <c r="H87" s="37" t="s">
        <v>34</v>
      </c>
      <c r="I87" s="37" t="s">
        <v>35</v>
      </c>
      <c r="J87" s="37" t="s">
        <v>34</v>
      </c>
      <c r="K87" s="37" t="s">
        <v>34</v>
      </c>
      <c r="L87" s="37" t="s">
        <v>35</v>
      </c>
      <c r="O87" s="57"/>
      <c r="P87" s="57"/>
      <c r="Q87" s="57"/>
      <c r="R87" s="121"/>
      <c r="S87" s="121"/>
      <c r="T87" s="122"/>
      <c r="U87" s="121"/>
      <c r="V87" s="121"/>
      <c r="W87" s="121"/>
      <c r="X87" s="121"/>
      <c r="Y87" s="121"/>
      <c r="Z87" s="121"/>
      <c r="AA87" s="121"/>
    </row>
    <row r="88" spans="2:27">
      <c r="B88" s="37" t="s">
        <v>263</v>
      </c>
      <c r="C88" s="32" t="s">
        <v>238</v>
      </c>
      <c r="D88" s="37" t="s">
        <v>14</v>
      </c>
      <c r="E88" s="39">
        <v>980000</v>
      </c>
      <c r="F88" s="37">
        <v>2002</v>
      </c>
      <c r="G88" s="38" t="s">
        <v>264</v>
      </c>
      <c r="H88" s="37" t="s">
        <v>34</v>
      </c>
      <c r="I88" s="37" t="s">
        <v>34</v>
      </c>
      <c r="J88" s="37" t="s">
        <v>34</v>
      </c>
      <c r="K88" s="37" t="s">
        <v>34</v>
      </c>
      <c r="L88" s="37" t="s">
        <v>35</v>
      </c>
      <c r="O88" s="57"/>
      <c r="P88" s="57"/>
      <c r="Q88" s="57"/>
      <c r="R88" s="121"/>
      <c r="S88" s="121"/>
      <c r="T88" s="122"/>
      <c r="U88" s="121"/>
      <c r="V88" s="121"/>
      <c r="W88" s="121"/>
      <c r="X88" s="121"/>
      <c r="Y88" s="121"/>
      <c r="Z88" s="121"/>
      <c r="AA88" s="121"/>
    </row>
    <row r="89" spans="2:27">
      <c r="B89" s="37" t="s">
        <v>265</v>
      </c>
      <c r="C89" s="32" t="s">
        <v>238</v>
      </c>
      <c r="D89" s="37" t="s">
        <v>14</v>
      </c>
      <c r="E89" s="39">
        <v>860000</v>
      </c>
      <c r="F89" s="37">
        <v>1979</v>
      </c>
      <c r="G89" s="38" t="s">
        <v>266</v>
      </c>
      <c r="H89" s="37" t="s">
        <v>34</v>
      </c>
      <c r="I89" s="37" t="s">
        <v>34</v>
      </c>
      <c r="J89" s="37" t="s">
        <v>35</v>
      </c>
      <c r="K89" s="37" t="s">
        <v>34</v>
      </c>
      <c r="L89" s="37" t="s">
        <v>34</v>
      </c>
      <c r="O89" s="57"/>
      <c r="P89" s="57"/>
      <c r="Q89" s="57"/>
      <c r="R89" s="121"/>
      <c r="S89" s="121"/>
      <c r="T89" s="122"/>
      <c r="U89" s="121"/>
      <c r="V89" s="121"/>
      <c r="W89" s="121"/>
      <c r="X89" s="121"/>
      <c r="Y89" s="121"/>
      <c r="Z89" s="121"/>
      <c r="AA89" s="121"/>
    </row>
    <row r="90" spans="2:27">
      <c r="B90" s="37" t="s">
        <v>267</v>
      </c>
      <c r="C90" s="40" t="s">
        <v>268</v>
      </c>
      <c r="D90" s="37" t="s">
        <v>82</v>
      </c>
      <c r="E90" s="39">
        <v>375000</v>
      </c>
      <c r="F90" s="37">
        <v>1988</v>
      </c>
      <c r="G90" s="38" t="s">
        <v>195</v>
      </c>
      <c r="H90" s="37" t="s">
        <v>34</v>
      </c>
      <c r="I90" s="37" t="s">
        <v>35</v>
      </c>
      <c r="J90" s="37" t="s">
        <v>34</v>
      </c>
      <c r="K90" s="37" t="s">
        <v>34</v>
      </c>
      <c r="L90" s="63" t="s">
        <v>269</v>
      </c>
      <c r="M90" s="63"/>
      <c r="O90" s="57"/>
      <c r="P90" s="57"/>
      <c r="Q90" s="57"/>
      <c r="R90" s="121"/>
      <c r="S90" s="121"/>
      <c r="T90" s="122"/>
      <c r="U90" s="121"/>
      <c r="V90" s="121"/>
      <c r="W90" s="121"/>
      <c r="X90" s="121"/>
      <c r="Y90" s="121"/>
      <c r="Z90" s="121"/>
      <c r="AA90" s="121"/>
    </row>
    <row r="91" spans="2:27">
      <c r="B91" s="37" t="s">
        <v>270</v>
      </c>
      <c r="C91" s="40" t="s">
        <v>268</v>
      </c>
      <c r="D91" s="37" t="s">
        <v>82</v>
      </c>
      <c r="E91" s="39">
        <v>443000</v>
      </c>
      <c r="F91" s="37">
        <v>2015</v>
      </c>
      <c r="G91" s="38" t="s">
        <v>271</v>
      </c>
      <c r="H91" s="37" t="s">
        <v>34</v>
      </c>
      <c r="I91" s="37" t="s">
        <v>35</v>
      </c>
      <c r="J91" s="37" t="s">
        <v>34</v>
      </c>
      <c r="K91" s="37" t="s">
        <v>34</v>
      </c>
      <c r="L91" s="63" t="s">
        <v>269</v>
      </c>
      <c r="M91" s="63"/>
      <c r="O91" s="57"/>
      <c r="P91" s="57"/>
      <c r="Q91" s="57"/>
      <c r="R91" s="121"/>
      <c r="S91" s="121"/>
      <c r="T91" s="122"/>
      <c r="U91" s="121"/>
      <c r="V91" s="121"/>
      <c r="W91" s="121"/>
      <c r="X91" s="121"/>
      <c r="Y91" s="121"/>
      <c r="Z91" s="121"/>
      <c r="AA91" s="121"/>
    </row>
    <row r="92" spans="2:27">
      <c r="B92" s="37" t="s">
        <v>272</v>
      </c>
      <c r="C92" s="40" t="s">
        <v>268</v>
      </c>
      <c r="D92" s="37" t="s">
        <v>71</v>
      </c>
      <c r="E92" s="39">
        <v>500000</v>
      </c>
      <c r="F92" s="37">
        <v>1988</v>
      </c>
      <c r="G92" s="38" t="s">
        <v>273</v>
      </c>
      <c r="H92" s="37" t="s">
        <v>34</v>
      </c>
      <c r="I92" s="37" t="s">
        <v>35</v>
      </c>
      <c r="J92" s="37" t="s">
        <v>34</v>
      </c>
      <c r="K92" s="37" t="s">
        <v>34</v>
      </c>
      <c r="L92" s="63" t="s">
        <v>269</v>
      </c>
      <c r="M92" s="63"/>
      <c r="O92" s="57"/>
      <c r="P92" s="57"/>
      <c r="Q92" s="57"/>
      <c r="R92" s="121"/>
      <c r="S92" s="121"/>
      <c r="T92" s="122"/>
      <c r="U92" s="121"/>
      <c r="V92" s="121"/>
      <c r="W92" s="121"/>
      <c r="X92" s="121"/>
      <c r="Y92" s="121"/>
      <c r="Z92" s="121"/>
      <c r="AA92" s="121"/>
    </row>
    <row r="93" spans="2:27">
      <c r="B93" s="37" t="s">
        <v>274</v>
      </c>
      <c r="C93" s="40" t="s">
        <v>268</v>
      </c>
      <c r="D93" s="37" t="s">
        <v>71</v>
      </c>
      <c r="E93" s="39">
        <v>482000</v>
      </c>
      <c r="F93" s="37">
        <v>1997</v>
      </c>
      <c r="G93" s="38" t="s">
        <v>275</v>
      </c>
      <c r="H93" s="37" t="s">
        <v>34</v>
      </c>
      <c r="I93" s="37" t="s">
        <v>35</v>
      </c>
      <c r="J93" s="37" t="s">
        <v>34</v>
      </c>
      <c r="K93" s="37" t="s">
        <v>34</v>
      </c>
      <c r="L93" s="63" t="s">
        <v>269</v>
      </c>
      <c r="M93" s="63"/>
      <c r="O93" s="57"/>
      <c r="P93" s="57"/>
      <c r="Q93" s="57"/>
      <c r="R93" s="121"/>
      <c r="S93" s="121"/>
      <c r="T93" s="122"/>
      <c r="U93" s="121"/>
      <c r="V93" s="121"/>
      <c r="W93" s="121"/>
      <c r="X93" s="121"/>
      <c r="Y93" s="121"/>
      <c r="Z93" s="121"/>
      <c r="AA93" s="121"/>
    </row>
    <row r="94" spans="2:27">
      <c r="B94" s="37" t="s">
        <v>276</v>
      </c>
      <c r="C94" s="40" t="s">
        <v>268</v>
      </c>
      <c r="D94" s="37" t="s">
        <v>71</v>
      </c>
      <c r="E94" s="39">
        <v>505000</v>
      </c>
      <c r="F94" s="37">
        <v>1988</v>
      </c>
      <c r="G94" s="38" t="s">
        <v>183</v>
      </c>
      <c r="H94" s="37" t="s">
        <v>34</v>
      </c>
      <c r="I94" s="37" t="s">
        <v>35</v>
      </c>
      <c r="J94" s="37" t="s">
        <v>34</v>
      </c>
      <c r="K94" s="37" t="s">
        <v>34</v>
      </c>
      <c r="L94" s="63" t="s">
        <v>269</v>
      </c>
      <c r="M94" s="63"/>
      <c r="O94" s="57"/>
      <c r="P94" s="57"/>
      <c r="Q94" s="57"/>
      <c r="R94" s="121"/>
      <c r="S94" s="121"/>
      <c r="T94" s="122"/>
      <c r="U94" s="121"/>
      <c r="V94" s="121"/>
      <c r="W94" s="121"/>
      <c r="X94" s="121"/>
      <c r="Y94" s="121"/>
      <c r="Z94" s="121"/>
      <c r="AA94" s="121"/>
    </row>
    <row r="95" spans="2:27">
      <c r="B95" s="37" t="s">
        <v>277</v>
      </c>
      <c r="C95" s="40" t="s">
        <v>268</v>
      </c>
      <c r="D95" s="37" t="s">
        <v>71</v>
      </c>
      <c r="E95" s="39">
        <v>492000</v>
      </c>
      <c r="F95" s="37">
        <v>1989</v>
      </c>
      <c r="G95" s="38" t="s">
        <v>278</v>
      </c>
      <c r="H95" s="37" t="s">
        <v>34</v>
      </c>
      <c r="I95" s="37" t="s">
        <v>34</v>
      </c>
      <c r="J95" s="37" t="s">
        <v>34</v>
      </c>
      <c r="K95" s="37" t="s">
        <v>34</v>
      </c>
      <c r="L95" s="63" t="s">
        <v>269</v>
      </c>
      <c r="M95" s="63"/>
      <c r="O95" s="57"/>
      <c r="P95" s="57"/>
      <c r="Q95" s="57"/>
      <c r="R95" s="121"/>
      <c r="S95" s="121"/>
      <c r="T95" s="122"/>
      <c r="U95" s="121"/>
      <c r="V95" s="121"/>
      <c r="W95" s="121"/>
      <c r="X95" s="121"/>
      <c r="Y95" s="121"/>
      <c r="Z95" s="121"/>
      <c r="AA95" s="121"/>
    </row>
    <row r="96" spans="2:27">
      <c r="B96" s="37" t="s">
        <v>279</v>
      </c>
      <c r="C96" s="40" t="s">
        <v>268</v>
      </c>
      <c r="D96" s="37" t="s">
        <v>71</v>
      </c>
      <c r="E96" s="39">
        <v>480000</v>
      </c>
      <c r="F96" s="37">
        <v>1998</v>
      </c>
      <c r="G96" s="38" t="s">
        <v>280</v>
      </c>
      <c r="H96" s="37" t="s">
        <v>34</v>
      </c>
      <c r="I96" s="37" t="s">
        <v>34</v>
      </c>
      <c r="J96" s="37" t="s">
        <v>34</v>
      </c>
      <c r="K96" s="37" t="s">
        <v>34</v>
      </c>
      <c r="L96" s="63" t="s">
        <v>269</v>
      </c>
      <c r="M96" s="63"/>
      <c r="O96" s="57"/>
      <c r="P96" s="57"/>
      <c r="Q96" s="57"/>
      <c r="R96" s="121"/>
      <c r="S96" s="121"/>
      <c r="T96" s="122"/>
      <c r="U96" s="121"/>
      <c r="V96" s="121"/>
      <c r="W96" s="121"/>
      <c r="X96" s="121"/>
      <c r="Y96" s="121"/>
      <c r="Z96" s="121"/>
      <c r="AA96" s="121"/>
    </row>
    <row r="97" spans="2:27">
      <c r="B97" s="37" t="s">
        <v>281</v>
      </c>
      <c r="C97" s="40" t="s">
        <v>268</v>
      </c>
      <c r="D97" s="37" t="s">
        <v>71</v>
      </c>
      <c r="E97" s="39">
        <v>510000</v>
      </c>
      <c r="F97" s="37">
        <v>1998</v>
      </c>
      <c r="G97" s="38" t="s">
        <v>282</v>
      </c>
      <c r="H97" s="37" t="s">
        <v>34</v>
      </c>
      <c r="I97" s="37" t="s">
        <v>34</v>
      </c>
      <c r="J97" s="37" t="s">
        <v>34</v>
      </c>
      <c r="K97" s="37" t="s">
        <v>34</v>
      </c>
      <c r="L97" s="132" t="s">
        <v>35</v>
      </c>
      <c r="M97" s="132"/>
      <c r="O97" s="57"/>
      <c r="P97" s="57"/>
      <c r="Q97" s="57"/>
      <c r="R97" s="121"/>
      <c r="S97" s="121"/>
      <c r="T97" s="122"/>
      <c r="U97" s="121"/>
      <c r="V97" s="121"/>
      <c r="W97" s="121"/>
      <c r="X97" s="121"/>
      <c r="Y97" s="121"/>
      <c r="Z97" s="121"/>
      <c r="AA97" s="121"/>
    </row>
    <row r="98" spans="2:27">
      <c r="B98" s="37" t="s">
        <v>283</v>
      </c>
      <c r="C98" s="40" t="s">
        <v>268</v>
      </c>
      <c r="D98" s="37" t="s">
        <v>71</v>
      </c>
      <c r="E98" s="39">
        <v>546888</v>
      </c>
      <c r="F98" s="37">
        <v>2015</v>
      </c>
      <c r="G98" s="38" t="s">
        <v>284</v>
      </c>
      <c r="H98" s="37" t="s">
        <v>34</v>
      </c>
      <c r="I98" s="37" t="s">
        <v>35</v>
      </c>
      <c r="J98" s="37" t="s">
        <v>34</v>
      </c>
      <c r="K98" s="37" t="s">
        <v>34</v>
      </c>
      <c r="L98" s="63" t="s">
        <v>269</v>
      </c>
      <c r="M98" s="63"/>
      <c r="O98" s="57"/>
      <c r="P98" s="57"/>
      <c r="Q98" s="57"/>
      <c r="R98" s="121"/>
      <c r="S98" s="121"/>
      <c r="T98" s="122"/>
      <c r="U98" s="121"/>
      <c r="V98" s="121"/>
      <c r="W98" s="121"/>
      <c r="X98" s="121"/>
      <c r="Y98" s="121"/>
      <c r="Z98" s="121"/>
      <c r="AA98" s="121"/>
    </row>
    <row r="99" spans="2:27">
      <c r="B99" s="37" t="s">
        <v>285</v>
      </c>
      <c r="C99" s="40" t="s">
        <v>268</v>
      </c>
      <c r="D99" s="37" t="s">
        <v>71</v>
      </c>
      <c r="E99" s="39">
        <v>588888</v>
      </c>
      <c r="F99" s="37">
        <v>2015</v>
      </c>
      <c r="G99" s="38" t="s">
        <v>286</v>
      </c>
      <c r="H99" s="37" t="s">
        <v>34</v>
      </c>
      <c r="I99" s="37" t="s">
        <v>35</v>
      </c>
      <c r="J99" s="37" t="s">
        <v>34</v>
      </c>
      <c r="K99" s="37" t="s">
        <v>34</v>
      </c>
      <c r="L99" s="132" t="s">
        <v>35</v>
      </c>
      <c r="M99" s="132"/>
      <c r="O99" s="57"/>
      <c r="P99" s="57"/>
      <c r="Q99" s="57"/>
      <c r="R99" s="121"/>
      <c r="S99" s="121"/>
      <c r="T99" s="122"/>
      <c r="U99" s="121"/>
      <c r="V99" s="121"/>
      <c r="W99" s="121"/>
      <c r="X99" s="121"/>
      <c r="Y99" s="121"/>
      <c r="Z99" s="121"/>
      <c r="AA99" s="121"/>
    </row>
    <row r="100" spans="2:27">
      <c r="B100" s="37" t="s">
        <v>287</v>
      </c>
      <c r="C100" s="40" t="s">
        <v>268</v>
      </c>
      <c r="D100" s="37" t="s">
        <v>14</v>
      </c>
      <c r="E100" s="39">
        <v>630000</v>
      </c>
      <c r="F100" s="37">
        <v>1999</v>
      </c>
      <c r="G100" s="38" t="s">
        <v>288</v>
      </c>
      <c r="H100" s="37" t="s">
        <v>34</v>
      </c>
      <c r="I100" s="37" t="s">
        <v>34</v>
      </c>
      <c r="J100" s="37" t="s">
        <v>34</v>
      </c>
      <c r="K100" s="37" t="s">
        <v>34</v>
      </c>
      <c r="L100" s="63" t="s">
        <v>269</v>
      </c>
      <c r="M100" s="63"/>
      <c r="O100" s="57"/>
      <c r="P100" s="57"/>
      <c r="Q100" s="57"/>
      <c r="R100" s="121"/>
      <c r="S100" s="121"/>
      <c r="T100" s="122"/>
      <c r="U100" s="121"/>
      <c r="V100" s="121"/>
      <c r="W100" s="121"/>
      <c r="X100" s="121"/>
      <c r="Y100" s="121"/>
      <c r="Z100" s="121"/>
      <c r="AA100" s="121"/>
    </row>
    <row r="101" spans="2:27">
      <c r="B101" s="37" t="s">
        <v>289</v>
      </c>
      <c r="C101" s="40" t="s">
        <v>268</v>
      </c>
      <c r="D101" s="37" t="s">
        <v>14</v>
      </c>
      <c r="E101" s="39">
        <v>588000</v>
      </c>
      <c r="F101" s="37">
        <v>1989</v>
      </c>
      <c r="G101" s="38" t="s">
        <v>290</v>
      </c>
      <c r="H101" s="37" t="s">
        <v>34</v>
      </c>
      <c r="I101" s="37" t="s">
        <v>34</v>
      </c>
      <c r="J101" s="37" t="s">
        <v>34</v>
      </c>
      <c r="K101" s="37" t="s">
        <v>34</v>
      </c>
      <c r="L101" s="63" t="s">
        <v>269</v>
      </c>
      <c r="M101" s="63"/>
      <c r="O101" s="57"/>
      <c r="P101" s="57"/>
      <c r="Q101" s="57"/>
      <c r="R101" s="121"/>
      <c r="S101" s="121"/>
      <c r="T101" s="122"/>
      <c r="U101" s="121"/>
      <c r="V101" s="121"/>
      <c r="W101" s="121"/>
      <c r="X101" s="121"/>
      <c r="Y101" s="121"/>
      <c r="Z101" s="121"/>
      <c r="AA101" s="121"/>
    </row>
    <row r="102" spans="2:27">
      <c r="B102" s="37" t="s">
        <v>291</v>
      </c>
      <c r="C102" s="40" t="s">
        <v>268</v>
      </c>
      <c r="D102" s="37" t="s">
        <v>14</v>
      </c>
      <c r="E102" s="39">
        <v>560000</v>
      </c>
      <c r="F102" s="37">
        <v>1997</v>
      </c>
      <c r="G102" s="38" t="s">
        <v>292</v>
      </c>
      <c r="H102" s="37" t="s">
        <v>34</v>
      </c>
      <c r="I102" s="37" t="s">
        <v>34</v>
      </c>
      <c r="J102" s="37" t="s">
        <v>34</v>
      </c>
      <c r="K102" s="37" t="s">
        <v>34</v>
      </c>
      <c r="L102" s="63" t="s">
        <v>269</v>
      </c>
      <c r="M102" s="63"/>
      <c r="O102" s="57"/>
      <c r="P102" s="57"/>
      <c r="Q102" s="57"/>
      <c r="R102" s="121"/>
      <c r="S102" s="121"/>
      <c r="T102" s="122"/>
      <c r="U102" s="121"/>
      <c r="V102" s="121"/>
      <c r="W102" s="121"/>
      <c r="X102" s="121"/>
      <c r="Y102" s="121"/>
      <c r="Z102" s="121"/>
      <c r="AA102" s="121"/>
    </row>
    <row r="103" spans="2:27">
      <c r="B103" s="37" t="s">
        <v>293</v>
      </c>
      <c r="C103" s="40" t="s">
        <v>268</v>
      </c>
      <c r="D103" s="37" t="s">
        <v>14</v>
      </c>
      <c r="E103" s="39">
        <v>590000</v>
      </c>
      <c r="F103" s="37">
        <v>1988</v>
      </c>
      <c r="G103" s="38" t="s">
        <v>294</v>
      </c>
      <c r="H103" s="37" t="s">
        <v>35</v>
      </c>
      <c r="I103" s="37" t="s">
        <v>35</v>
      </c>
      <c r="J103" s="37" t="s">
        <v>35</v>
      </c>
      <c r="K103" s="37" t="s">
        <v>35</v>
      </c>
      <c r="L103" s="132" t="s">
        <v>35</v>
      </c>
      <c r="M103" s="132"/>
      <c r="O103" s="57"/>
      <c r="P103" s="57"/>
      <c r="Q103" s="57"/>
      <c r="R103" s="121"/>
      <c r="S103" s="121"/>
      <c r="T103" s="122"/>
      <c r="U103" s="121"/>
      <c r="V103" s="121"/>
      <c r="W103" s="121"/>
      <c r="X103" s="121"/>
      <c r="Y103" s="121"/>
      <c r="Z103" s="121"/>
      <c r="AA103" s="121"/>
    </row>
    <row r="104" spans="2:27">
      <c r="B104" s="37" t="s">
        <v>295</v>
      </c>
      <c r="C104" s="40" t="s">
        <v>268</v>
      </c>
      <c r="D104" s="37" t="s">
        <v>14</v>
      </c>
      <c r="E104" s="39">
        <v>560000</v>
      </c>
      <c r="F104" s="37">
        <v>1988</v>
      </c>
      <c r="G104" s="38" t="s">
        <v>273</v>
      </c>
      <c r="H104" s="37" t="s">
        <v>34</v>
      </c>
      <c r="I104" s="37" t="s">
        <v>34</v>
      </c>
      <c r="J104" s="37" t="s">
        <v>35</v>
      </c>
      <c r="K104" s="37" t="s">
        <v>34</v>
      </c>
      <c r="L104" s="132" t="s">
        <v>35</v>
      </c>
      <c r="M104" s="132"/>
      <c r="O104" s="57"/>
      <c r="P104" s="57"/>
      <c r="Q104" s="57"/>
      <c r="R104" s="121"/>
      <c r="S104" s="121"/>
      <c r="T104" s="122"/>
      <c r="U104" s="121"/>
      <c r="V104" s="121"/>
      <c r="W104" s="121"/>
      <c r="X104" s="121"/>
      <c r="Y104" s="121"/>
      <c r="Z104" s="121"/>
      <c r="AA104" s="121"/>
    </row>
    <row r="105" spans="2:27">
      <c r="B105" s="37" t="s">
        <v>296</v>
      </c>
      <c r="C105" s="40" t="s">
        <v>268</v>
      </c>
      <c r="D105" s="37" t="s">
        <v>14</v>
      </c>
      <c r="E105" s="39">
        <v>605000</v>
      </c>
      <c r="F105" s="37">
        <v>2002</v>
      </c>
      <c r="G105" s="38" t="s">
        <v>297</v>
      </c>
      <c r="H105" s="37" t="s">
        <v>34</v>
      </c>
      <c r="I105" s="37" t="s">
        <v>35</v>
      </c>
      <c r="J105" s="37" t="s">
        <v>34</v>
      </c>
      <c r="K105" s="37" t="s">
        <v>34</v>
      </c>
      <c r="L105" s="63" t="s">
        <v>269</v>
      </c>
      <c r="M105" s="63"/>
      <c r="O105" s="57"/>
      <c r="P105" s="57"/>
      <c r="Q105" s="57"/>
      <c r="R105" s="121"/>
      <c r="S105" s="121"/>
      <c r="T105" s="122"/>
      <c r="U105" s="121"/>
      <c r="V105" s="121"/>
      <c r="W105" s="121"/>
      <c r="X105" s="121"/>
      <c r="Y105" s="121"/>
      <c r="Z105" s="121"/>
      <c r="AA105" s="121"/>
    </row>
    <row r="106" spans="2:27">
      <c r="B106" s="37" t="s">
        <v>298</v>
      </c>
      <c r="C106" s="40" t="s">
        <v>268</v>
      </c>
      <c r="D106" s="37" t="s">
        <v>177</v>
      </c>
      <c r="E106" s="39">
        <v>770000</v>
      </c>
      <c r="F106" s="37">
        <v>1997</v>
      </c>
      <c r="G106" s="38" t="s">
        <v>299</v>
      </c>
      <c r="H106" s="37" t="s">
        <v>34</v>
      </c>
      <c r="I106" s="37" t="s">
        <v>34</v>
      </c>
      <c r="J106" s="37" t="s">
        <v>34</v>
      </c>
      <c r="K106" s="37" t="s">
        <v>34</v>
      </c>
      <c r="L106" s="63" t="s">
        <v>269</v>
      </c>
      <c r="M106" s="63"/>
      <c r="O106" s="57"/>
      <c r="P106" s="57"/>
      <c r="Q106" s="57"/>
      <c r="R106" s="121"/>
      <c r="S106" s="121"/>
      <c r="T106" s="122"/>
      <c r="U106" s="121"/>
      <c r="V106" s="121"/>
      <c r="W106" s="121"/>
      <c r="X106" s="121"/>
      <c r="Y106" s="121"/>
      <c r="Z106" s="121"/>
      <c r="AA106" s="121"/>
    </row>
    <row r="107" spans="2:27">
      <c r="B107" s="37" t="s">
        <v>300</v>
      </c>
      <c r="C107" s="40" t="s">
        <v>268</v>
      </c>
      <c r="D107" s="37" t="s">
        <v>177</v>
      </c>
      <c r="E107" s="39">
        <v>878000</v>
      </c>
      <c r="F107" s="37">
        <v>1998</v>
      </c>
      <c r="G107" s="38" t="s">
        <v>301</v>
      </c>
      <c r="H107" s="37" t="s">
        <v>34</v>
      </c>
      <c r="I107" s="37" t="s">
        <v>34</v>
      </c>
      <c r="J107" s="37" t="s">
        <v>35</v>
      </c>
      <c r="K107" s="37" t="s">
        <v>34</v>
      </c>
      <c r="L107" s="132" t="s">
        <v>35</v>
      </c>
      <c r="M107" s="132"/>
      <c r="O107" s="57"/>
      <c r="P107" s="57"/>
      <c r="Q107" s="57"/>
      <c r="R107" s="121"/>
      <c r="S107" s="121"/>
      <c r="T107" s="122"/>
      <c r="U107" s="121"/>
      <c r="V107" s="121"/>
      <c r="W107" s="121"/>
      <c r="X107" s="121"/>
      <c r="Y107" s="121"/>
      <c r="Z107" s="121"/>
      <c r="AA107" s="121"/>
    </row>
    <row r="108" spans="2:27">
      <c r="B108" s="37" t="s">
        <v>302</v>
      </c>
      <c r="C108" s="40" t="s">
        <v>268</v>
      </c>
      <c r="D108" s="37" t="s">
        <v>177</v>
      </c>
      <c r="E108" s="39">
        <v>800000</v>
      </c>
      <c r="F108" s="37">
        <v>1999</v>
      </c>
      <c r="G108" s="38" t="s">
        <v>303</v>
      </c>
      <c r="H108" s="37" t="s">
        <v>34</v>
      </c>
      <c r="I108" s="37" t="s">
        <v>34</v>
      </c>
      <c r="J108" s="37" t="s">
        <v>35</v>
      </c>
      <c r="K108" s="37" t="s">
        <v>34</v>
      </c>
      <c r="L108" s="63" t="s">
        <v>269</v>
      </c>
      <c r="M108" s="63"/>
      <c r="O108" s="57"/>
      <c r="P108" s="57"/>
      <c r="Q108" s="57"/>
      <c r="R108" s="121"/>
      <c r="S108" s="121"/>
      <c r="T108" s="122"/>
      <c r="U108" s="121"/>
      <c r="V108" s="121"/>
      <c r="W108" s="121"/>
      <c r="X108" s="121"/>
      <c r="Y108" s="121"/>
      <c r="Z108" s="121"/>
      <c r="AA108" s="121"/>
    </row>
    <row r="109" spans="2:27">
      <c r="B109" s="37" t="s">
        <v>304</v>
      </c>
      <c r="C109" s="32" t="s">
        <v>305</v>
      </c>
      <c r="D109" s="37" t="s">
        <v>71</v>
      </c>
      <c r="E109" s="39">
        <v>540000</v>
      </c>
      <c r="F109" s="37">
        <v>1982</v>
      </c>
      <c r="G109" s="38" t="s">
        <v>161</v>
      </c>
      <c r="H109" s="37" t="s">
        <v>35</v>
      </c>
      <c r="I109" s="37" t="s">
        <v>34</v>
      </c>
      <c r="J109" s="37" t="s">
        <v>35</v>
      </c>
      <c r="K109" s="37" t="s">
        <v>34</v>
      </c>
      <c r="L109" s="37" t="s">
        <v>34</v>
      </c>
      <c r="O109" s="57"/>
      <c r="P109" s="57"/>
      <c r="Q109" s="57"/>
      <c r="R109" s="121"/>
      <c r="S109" s="121"/>
      <c r="T109" s="122"/>
      <c r="U109" s="121"/>
      <c r="V109" s="121"/>
      <c r="W109" s="121"/>
      <c r="X109" s="121"/>
      <c r="Y109" s="121"/>
      <c r="Z109" s="121"/>
      <c r="AA109" s="121"/>
    </row>
    <row r="110" spans="2:27">
      <c r="B110" s="37" t="s">
        <v>306</v>
      </c>
      <c r="C110" s="32" t="s">
        <v>305</v>
      </c>
      <c r="D110" s="37" t="s">
        <v>71</v>
      </c>
      <c r="E110" s="39">
        <v>700000</v>
      </c>
      <c r="F110" s="37">
        <v>1985</v>
      </c>
      <c r="G110" s="38" t="s">
        <v>307</v>
      </c>
      <c r="H110" s="37" t="s">
        <v>34</v>
      </c>
      <c r="I110" s="37" t="s">
        <v>34</v>
      </c>
      <c r="J110" s="37" t="s">
        <v>35</v>
      </c>
      <c r="K110" s="37" t="s">
        <v>34</v>
      </c>
      <c r="L110" s="37" t="s">
        <v>34</v>
      </c>
      <c r="O110" s="57"/>
      <c r="P110" s="57"/>
      <c r="Q110" s="57"/>
      <c r="R110" s="121"/>
      <c r="S110" s="121"/>
      <c r="T110" s="122"/>
      <c r="U110" s="121"/>
      <c r="V110" s="121"/>
      <c r="W110" s="121"/>
      <c r="X110" s="121"/>
      <c r="Y110" s="121"/>
      <c r="Z110" s="121"/>
      <c r="AA110" s="121"/>
    </row>
    <row r="111" spans="2:27">
      <c r="B111" s="37" t="s">
        <v>308</v>
      </c>
      <c r="C111" s="40" t="s">
        <v>13</v>
      </c>
      <c r="D111" s="37" t="s">
        <v>31</v>
      </c>
      <c r="E111" s="39">
        <v>320000</v>
      </c>
      <c r="F111" s="37">
        <v>2017</v>
      </c>
      <c r="G111" s="38" t="s">
        <v>245</v>
      </c>
      <c r="H111" s="37" t="s">
        <v>34</v>
      </c>
      <c r="I111" s="37" t="s">
        <v>34</v>
      </c>
      <c r="J111" s="37" t="s">
        <v>35</v>
      </c>
      <c r="K111" s="37" t="s">
        <v>34</v>
      </c>
      <c r="L111" s="37" t="s">
        <v>35</v>
      </c>
      <c r="O111" s="57"/>
      <c r="P111" s="57"/>
      <c r="Q111" s="57"/>
      <c r="R111" s="121"/>
      <c r="S111" s="121"/>
      <c r="T111" s="122"/>
      <c r="U111" s="121"/>
      <c r="V111" s="121"/>
      <c r="W111" s="121"/>
      <c r="X111" s="121"/>
      <c r="Y111" s="121"/>
      <c r="Z111" s="121"/>
      <c r="AA111" s="121"/>
    </row>
    <row r="112" spans="2:27">
      <c r="B112" s="37" t="s">
        <v>309</v>
      </c>
      <c r="C112" s="40" t="s">
        <v>13</v>
      </c>
      <c r="D112" s="37" t="s">
        <v>71</v>
      </c>
      <c r="E112" s="39">
        <v>530000</v>
      </c>
      <c r="F112" s="37">
        <v>1992</v>
      </c>
      <c r="G112" s="38" t="s">
        <v>310</v>
      </c>
      <c r="H112" s="37" t="s">
        <v>34</v>
      </c>
      <c r="I112" s="37" t="s">
        <v>35</v>
      </c>
      <c r="J112" s="37" t="s">
        <v>35</v>
      </c>
      <c r="K112" s="37" t="s">
        <v>34</v>
      </c>
      <c r="L112" s="37" t="s">
        <v>35</v>
      </c>
      <c r="O112" s="57"/>
      <c r="P112" s="57"/>
      <c r="Q112" s="57"/>
      <c r="R112" s="121"/>
      <c r="S112" s="121"/>
      <c r="T112" s="122"/>
      <c r="U112" s="121"/>
      <c r="V112" s="121"/>
      <c r="W112" s="121"/>
      <c r="X112" s="121"/>
      <c r="Y112" s="121"/>
      <c r="Z112" s="121"/>
      <c r="AA112" s="121"/>
    </row>
    <row r="113" spans="2:27">
      <c r="B113" s="37" t="s">
        <v>311</v>
      </c>
      <c r="C113" s="40" t="s">
        <v>13</v>
      </c>
      <c r="D113" s="37" t="s">
        <v>71</v>
      </c>
      <c r="E113" s="39">
        <v>508000</v>
      </c>
      <c r="F113" s="37">
        <v>1992</v>
      </c>
      <c r="G113" s="38" t="s">
        <v>312</v>
      </c>
      <c r="H113" s="37" t="s">
        <v>34</v>
      </c>
      <c r="I113" s="37" t="s">
        <v>34</v>
      </c>
      <c r="J113" s="37" t="s">
        <v>34</v>
      </c>
      <c r="K113" s="37" t="s">
        <v>34</v>
      </c>
      <c r="L113" s="37" t="s">
        <v>34</v>
      </c>
      <c r="O113" s="57"/>
      <c r="P113" s="57"/>
      <c r="Q113" s="57"/>
      <c r="R113" s="121"/>
      <c r="S113" s="121"/>
      <c r="T113" s="122"/>
      <c r="U113" s="121"/>
      <c r="V113" s="121"/>
      <c r="W113" s="121"/>
      <c r="X113" s="121"/>
      <c r="Y113" s="121"/>
      <c r="Z113" s="121"/>
      <c r="AA113" s="121"/>
    </row>
    <row r="114" spans="2:27">
      <c r="B114" s="37" t="s">
        <v>313</v>
      </c>
      <c r="C114" s="40" t="s">
        <v>13</v>
      </c>
      <c r="D114" s="37" t="s">
        <v>71</v>
      </c>
      <c r="E114" s="39">
        <v>538000</v>
      </c>
      <c r="F114" s="37">
        <v>1993</v>
      </c>
      <c r="G114" s="38" t="s">
        <v>314</v>
      </c>
      <c r="H114" s="37" t="s">
        <v>34</v>
      </c>
      <c r="I114" s="37" t="s">
        <v>34</v>
      </c>
      <c r="J114" s="37" t="s">
        <v>34</v>
      </c>
      <c r="K114" s="37" t="s">
        <v>34</v>
      </c>
      <c r="L114" s="37" t="s">
        <v>34</v>
      </c>
      <c r="O114" s="57"/>
      <c r="P114" s="57"/>
      <c r="Q114" s="57"/>
      <c r="R114" s="121"/>
      <c r="S114" s="121"/>
      <c r="T114" s="122"/>
      <c r="U114" s="121"/>
      <c r="V114" s="121"/>
      <c r="W114" s="121"/>
      <c r="X114" s="121"/>
      <c r="Y114" s="121"/>
      <c r="Z114" s="121"/>
      <c r="AA114" s="121"/>
    </row>
    <row r="115" spans="2:27">
      <c r="B115" s="37" t="s">
        <v>315</v>
      </c>
      <c r="C115" s="40" t="s">
        <v>13</v>
      </c>
      <c r="D115" s="37" t="s">
        <v>71</v>
      </c>
      <c r="E115" s="39">
        <v>465000</v>
      </c>
      <c r="F115" s="37">
        <v>1999</v>
      </c>
      <c r="G115" s="38" t="s">
        <v>316</v>
      </c>
      <c r="H115" s="37" t="s">
        <v>34</v>
      </c>
      <c r="I115" s="37" t="s">
        <v>34</v>
      </c>
      <c r="J115" s="37" t="s">
        <v>35</v>
      </c>
      <c r="K115" s="37" t="s">
        <v>34</v>
      </c>
      <c r="L115" s="37" t="s">
        <v>34</v>
      </c>
      <c r="O115" s="57"/>
      <c r="P115" s="57"/>
      <c r="Q115" s="57"/>
      <c r="R115" s="121"/>
      <c r="S115" s="121"/>
      <c r="T115" s="122"/>
      <c r="U115" s="121"/>
      <c r="V115" s="121"/>
      <c r="W115" s="121"/>
      <c r="X115" s="121"/>
      <c r="Y115" s="121"/>
      <c r="Z115" s="121"/>
      <c r="AA115" s="121"/>
    </row>
    <row r="116" spans="2:27">
      <c r="B116" s="37" t="s">
        <v>317</v>
      </c>
      <c r="C116" s="40" t="s">
        <v>13</v>
      </c>
      <c r="D116" s="37" t="s">
        <v>71</v>
      </c>
      <c r="E116" s="39">
        <v>450000</v>
      </c>
      <c r="F116" s="37">
        <v>2003</v>
      </c>
      <c r="G116" s="38" t="s">
        <v>318</v>
      </c>
      <c r="H116" s="37" t="s">
        <v>34</v>
      </c>
      <c r="I116" s="37" t="s">
        <v>34</v>
      </c>
      <c r="J116" s="37" t="s">
        <v>35</v>
      </c>
      <c r="K116" s="37" t="s">
        <v>34</v>
      </c>
      <c r="L116" s="37" t="s">
        <v>34</v>
      </c>
      <c r="O116" s="57"/>
      <c r="P116" s="57"/>
      <c r="Q116" s="57"/>
      <c r="R116" s="121"/>
      <c r="S116" s="121"/>
      <c r="T116" s="122"/>
      <c r="U116" s="121"/>
      <c r="V116" s="121"/>
      <c r="W116" s="121"/>
      <c r="X116" s="121"/>
      <c r="Y116" s="121"/>
      <c r="Z116" s="121"/>
      <c r="AA116" s="121"/>
    </row>
    <row r="117" spans="2:27">
      <c r="B117" s="37" t="s">
        <v>319</v>
      </c>
      <c r="C117" s="40" t="s">
        <v>13</v>
      </c>
      <c r="D117" s="37" t="s">
        <v>71</v>
      </c>
      <c r="E117" s="39">
        <v>495000</v>
      </c>
      <c r="F117" s="37">
        <v>1989</v>
      </c>
      <c r="G117" s="38" t="s">
        <v>320</v>
      </c>
      <c r="H117" s="37" t="s">
        <v>34</v>
      </c>
      <c r="I117" s="37" t="s">
        <v>34</v>
      </c>
      <c r="J117" s="37" t="s">
        <v>34</v>
      </c>
      <c r="K117" s="37" t="s">
        <v>34</v>
      </c>
      <c r="L117" s="37" t="s">
        <v>34</v>
      </c>
      <c r="O117" s="57"/>
      <c r="P117" s="57"/>
      <c r="Q117" s="57"/>
      <c r="R117" s="121"/>
      <c r="S117" s="121"/>
      <c r="T117" s="122"/>
      <c r="U117" s="121"/>
      <c r="V117" s="121"/>
      <c r="W117" s="121"/>
      <c r="X117" s="121"/>
      <c r="Y117" s="121"/>
      <c r="Z117" s="121"/>
      <c r="AA117" s="121"/>
    </row>
    <row r="118" spans="2:27">
      <c r="B118" s="37" t="s">
        <v>321</v>
      </c>
      <c r="C118" s="40" t="s">
        <v>13</v>
      </c>
      <c r="D118" s="37" t="s">
        <v>71</v>
      </c>
      <c r="E118" s="39">
        <v>530000</v>
      </c>
      <c r="F118" s="37">
        <v>1998</v>
      </c>
      <c r="G118" s="38" t="s">
        <v>282</v>
      </c>
      <c r="H118" s="37" t="s">
        <v>34</v>
      </c>
      <c r="I118" s="37" t="s">
        <v>34</v>
      </c>
      <c r="J118" s="37" t="s">
        <v>34</v>
      </c>
      <c r="K118" s="37" t="s">
        <v>34</v>
      </c>
      <c r="L118" s="37" t="s">
        <v>34</v>
      </c>
      <c r="O118" s="57"/>
      <c r="P118" s="57"/>
      <c r="Q118" s="57"/>
      <c r="R118" s="121"/>
      <c r="S118" s="121"/>
      <c r="T118" s="122"/>
      <c r="U118" s="121"/>
      <c r="V118" s="121"/>
      <c r="W118" s="121"/>
      <c r="X118" s="121"/>
      <c r="Y118" s="121"/>
      <c r="Z118" s="121"/>
      <c r="AA118" s="121"/>
    </row>
    <row r="119" spans="2:27">
      <c r="B119" s="37" t="s">
        <v>322</v>
      </c>
      <c r="C119" s="40" t="s">
        <v>13</v>
      </c>
      <c r="D119" s="37" t="s">
        <v>71</v>
      </c>
      <c r="E119" s="39">
        <v>568000</v>
      </c>
      <c r="F119" s="37">
        <v>1995</v>
      </c>
      <c r="G119" s="38" t="s">
        <v>231</v>
      </c>
      <c r="H119" s="37" t="s">
        <v>34</v>
      </c>
      <c r="I119" s="37" t="s">
        <v>34</v>
      </c>
      <c r="J119" s="37" t="s">
        <v>34</v>
      </c>
      <c r="K119" s="37" t="s">
        <v>34</v>
      </c>
      <c r="L119" s="37" t="s">
        <v>34</v>
      </c>
      <c r="O119" s="57"/>
      <c r="P119" s="57"/>
      <c r="Q119" s="57"/>
      <c r="R119" s="121"/>
      <c r="S119" s="121"/>
      <c r="T119" s="122"/>
      <c r="U119" s="121"/>
      <c r="V119" s="121"/>
      <c r="W119" s="121"/>
      <c r="X119" s="121"/>
      <c r="Y119" s="121"/>
      <c r="Z119" s="121"/>
      <c r="AA119" s="121"/>
    </row>
    <row r="120" spans="2:27">
      <c r="B120" s="37" t="s">
        <v>323</v>
      </c>
      <c r="C120" s="40" t="s">
        <v>13</v>
      </c>
      <c r="D120" s="37" t="s">
        <v>71</v>
      </c>
      <c r="E120" s="39">
        <v>515000</v>
      </c>
      <c r="F120" s="37">
        <v>2017</v>
      </c>
      <c r="G120" s="38" t="s">
        <v>324</v>
      </c>
      <c r="H120" s="37" t="s">
        <v>34</v>
      </c>
      <c r="I120" s="37" t="s">
        <v>34</v>
      </c>
      <c r="J120" s="37" t="s">
        <v>35</v>
      </c>
      <c r="K120" s="37" t="s">
        <v>34</v>
      </c>
      <c r="L120" s="37" t="s">
        <v>35</v>
      </c>
      <c r="O120" s="57"/>
      <c r="P120" s="57"/>
      <c r="Q120" s="57"/>
      <c r="R120" s="121"/>
      <c r="S120" s="121"/>
      <c r="T120" s="122"/>
      <c r="U120" s="121"/>
      <c r="V120" s="121"/>
      <c r="W120" s="121"/>
      <c r="X120" s="121"/>
      <c r="Y120" s="121"/>
      <c r="Z120" s="121"/>
      <c r="AA120" s="121"/>
    </row>
    <row r="121" spans="2:27">
      <c r="B121" s="37" t="s">
        <v>325</v>
      </c>
      <c r="C121" s="40" t="s">
        <v>13</v>
      </c>
      <c r="D121" s="37" t="s">
        <v>71</v>
      </c>
      <c r="E121" s="39">
        <v>635000</v>
      </c>
      <c r="F121" s="37">
        <v>2017</v>
      </c>
      <c r="G121" s="38" t="s">
        <v>326</v>
      </c>
      <c r="H121" s="37" t="s">
        <v>34</v>
      </c>
      <c r="I121" s="37" t="s">
        <v>35</v>
      </c>
      <c r="J121" s="37" t="s">
        <v>34</v>
      </c>
      <c r="K121" s="37" t="s">
        <v>34</v>
      </c>
      <c r="L121" s="37" t="s">
        <v>35</v>
      </c>
      <c r="O121" s="57"/>
      <c r="P121" s="57"/>
      <c r="Q121" s="57"/>
      <c r="R121" s="121"/>
      <c r="S121" s="121"/>
      <c r="T121" s="122"/>
      <c r="U121" s="121"/>
      <c r="V121" s="121"/>
      <c r="W121" s="121"/>
      <c r="X121" s="121"/>
      <c r="Y121" s="121"/>
      <c r="Z121" s="121"/>
      <c r="AA121" s="121"/>
    </row>
    <row r="122" spans="2:27">
      <c r="B122" s="37" t="s">
        <v>327</v>
      </c>
      <c r="C122" s="40" t="s">
        <v>13</v>
      </c>
      <c r="D122" s="37" t="s">
        <v>14</v>
      </c>
      <c r="E122" s="39">
        <v>670000</v>
      </c>
      <c r="F122" s="37">
        <v>2017</v>
      </c>
      <c r="G122" s="38" t="s">
        <v>328</v>
      </c>
      <c r="H122" s="37" t="s">
        <v>34</v>
      </c>
      <c r="I122" s="37" t="s">
        <v>35</v>
      </c>
      <c r="J122" s="37" t="s">
        <v>35</v>
      </c>
      <c r="K122" s="37" t="s">
        <v>34</v>
      </c>
      <c r="L122" s="37" t="s">
        <v>35</v>
      </c>
      <c r="O122" s="57"/>
      <c r="P122" s="57"/>
      <c r="Q122" s="57"/>
      <c r="R122" s="121"/>
      <c r="S122" s="121"/>
      <c r="T122" s="122"/>
      <c r="U122" s="121"/>
      <c r="V122" s="121"/>
      <c r="W122" s="121"/>
      <c r="X122" s="121"/>
      <c r="Y122" s="121"/>
      <c r="Z122" s="121"/>
      <c r="AA122" s="121"/>
    </row>
    <row r="123" spans="2:27">
      <c r="B123" s="37" t="s">
        <v>329</v>
      </c>
      <c r="C123" s="40" t="s">
        <v>13</v>
      </c>
      <c r="D123" s="37" t="s">
        <v>14</v>
      </c>
      <c r="E123" s="39">
        <v>552000</v>
      </c>
      <c r="F123" s="37">
        <v>1997</v>
      </c>
      <c r="G123" s="38" t="s">
        <v>330</v>
      </c>
      <c r="H123" s="37" t="s">
        <v>35</v>
      </c>
      <c r="I123" s="37" t="s">
        <v>35</v>
      </c>
      <c r="J123" s="37" t="s">
        <v>35</v>
      </c>
      <c r="K123" s="37" t="s">
        <v>34</v>
      </c>
      <c r="L123" s="37" t="s">
        <v>35</v>
      </c>
      <c r="O123" s="57"/>
      <c r="P123" s="57"/>
      <c r="Q123" s="57"/>
      <c r="R123" s="121"/>
      <c r="S123" s="121"/>
      <c r="T123" s="122"/>
      <c r="U123" s="121"/>
      <c r="V123" s="121"/>
      <c r="W123" s="121"/>
      <c r="X123" s="121"/>
      <c r="Y123" s="121"/>
      <c r="Z123" s="121"/>
      <c r="AA123" s="121"/>
    </row>
    <row r="124" spans="2:27">
      <c r="B124" s="37" t="s">
        <v>331</v>
      </c>
      <c r="C124" s="40" t="s">
        <v>13</v>
      </c>
      <c r="D124" s="37" t="s">
        <v>14</v>
      </c>
      <c r="E124" s="39">
        <v>648000</v>
      </c>
      <c r="F124" s="37">
        <v>2017</v>
      </c>
      <c r="G124" s="38" t="s">
        <v>332</v>
      </c>
      <c r="H124" s="37" t="s">
        <v>34</v>
      </c>
      <c r="I124" s="37" t="s">
        <v>34</v>
      </c>
      <c r="J124" s="37" t="s">
        <v>34</v>
      </c>
      <c r="K124" s="37" t="s">
        <v>34</v>
      </c>
      <c r="L124" s="37" t="s">
        <v>34</v>
      </c>
      <c r="O124" s="57"/>
      <c r="P124" s="57"/>
      <c r="Q124" s="57"/>
      <c r="R124" s="121"/>
      <c r="S124" s="121"/>
      <c r="T124" s="122"/>
      <c r="U124" s="121"/>
      <c r="V124" s="121"/>
      <c r="W124" s="121"/>
      <c r="X124" s="121"/>
      <c r="Y124" s="121"/>
      <c r="Z124" s="121"/>
      <c r="AA124" s="121"/>
    </row>
    <row r="125" spans="2:27">
      <c r="B125" s="37" t="s">
        <v>333</v>
      </c>
      <c r="C125" s="40" t="s">
        <v>13</v>
      </c>
      <c r="D125" s="37" t="s">
        <v>14</v>
      </c>
      <c r="E125" s="39">
        <v>514388</v>
      </c>
      <c r="F125" s="37">
        <v>2003</v>
      </c>
      <c r="G125" s="38" t="s">
        <v>334</v>
      </c>
      <c r="H125" s="37" t="s">
        <v>34</v>
      </c>
      <c r="I125" s="37" t="s">
        <v>35</v>
      </c>
      <c r="J125" s="37" t="s">
        <v>34</v>
      </c>
      <c r="K125" s="37" t="s">
        <v>34</v>
      </c>
      <c r="L125" s="37" t="s">
        <v>35</v>
      </c>
      <c r="O125" s="57"/>
      <c r="P125" s="57"/>
      <c r="Q125" s="57"/>
      <c r="R125" s="121"/>
      <c r="S125" s="121"/>
      <c r="T125" s="122"/>
      <c r="U125" s="121"/>
      <c r="V125" s="121"/>
      <c r="W125" s="121"/>
      <c r="X125" s="121"/>
      <c r="Y125" s="121"/>
      <c r="Z125" s="121"/>
      <c r="AA125" s="121"/>
    </row>
    <row r="126" spans="2:27">
      <c r="B126" s="37" t="s">
        <v>335</v>
      </c>
      <c r="C126" s="40" t="s">
        <v>13</v>
      </c>
      <c r="D126" s="37" t="s">
        <v>14</v>
      </c>
      <c r="E126" s="39">
        <v>631688</v>
      </c>
      <c r="F126" s="37">
        <v>1993</v>
      </c>
      <c r="G126" s="38" t="s">
        <v>336</v>
      </c>
      <c r="H126" s="37" t="s">
        <v>34</v>
      </c>
      <c r="I126" s="37" t="s">
        <v>35</v>
      </c>
      <c r="J126" s="37" t="s">
        <v>34</v>
      </c>
      <c r="K126" s="37" t="s">
        <v>34</v>
      </c>
      <c r="L126" s="37" t="s">
        <v>35</v>
      </c>
      <c r="O126" s="57"/>
      <c r="P126" s="57"/>
      <c r="Q126" s="57"/>
      <c r="R126" s="121"/>
      <c r="S126" s="121"/>
      <c r="T126" s="122"/>
      <c r="U126" s="121"/>
      <c r="V126" s="121"/>
      <c r="W126" s="121"/>
      <c r="X126" s="121"/>
      <c r="Y126" s="121"/>
      <c r="Z126" s="121"/>
      <c r="AA126" s="121"/>
    </row>
    <row r="127" spans="2:27">
      <c r="B127" s="37" t="s">
        <v>337</v>
      </c>
      <c r="C127" s="40" t="s">
        <v>13</v>
      </c>
      <c r="D127" s="37" t="s">
        <v>14</v>
      </c>
      <c r="E127" s="39">
        <v>648000</v>
      </c>
      <c r="F127" s="37">
        <v>1989</v>
      </c>
      <c r="G127" s="38" t="s">
        <v>278</v>
      </c>
      <c r="H127" s="37" t="s">
        <v>34</v>
      </c>
      <c r="I127" s="37" t="s">
        <v>35</v>
      </c>
      <c r="J127" s="37" t="s">
        <v>35</v>
      </c>
      <c r="K127" s="37" t="s">
        <v>34</v>
      </c>
      <c r="L127" s="37" t="s">
        <v>35</v>
      </c>
      <c r="O127" s="57"/>
      <c r="P127" s="57"/>
      <c r="Q127" s="57"/>
      <c r="R127" s="121"/>
      <c r="S127" s="121"/>
      <c r="T127" s="122"/>
      <c r="U127" s="121"/>
      <c r="V127" s="121"/>
      <c r="W127" s="121"/>
      <c r="X127" s="121"/>
      <c r="Y127" s="121"/>
      <c r="Z127" s="121"/>
      <c r="AA127" s="121"/>
    </row>
    <row r="128" spans="2:27">
      <c r="B128" s="37" t="s">
        <v>338</v>
      </c>
      <c r="C128" s="40" t="s">
        <v>13</v>
      </c>
      <c r="D128" s="37" t="s">
        <v>14</v>
      </c>
      <c r="E128" s="39">
        <v>615000</v>
      </c>
      <c r="F128" s="37">
        <v>2018</v>
      </c>
      <c r="G128" s="38" t="s">
        <v>339</v>
      </c>
      <c r="H128" s="37" t="s">
        <v>34</v>
      </c>
      <c r="I128" s="37" t="s">
        <v>34</v>
      </c>
      <c r="J128" s="37" t="s">
        <v>34</v>
      </c>
      <c r="K128" s="37" t="s">
        <v>34</v>
      </c>
      <c r="L128" s="37" t="s">
        <v>35</v>
      </c>
      <c r="O128" s="57"/>
      <c r="P128" s="57"/>
      <c r="Q128" s="57"/>
      <c r="R128" s="121"/>
      <c r="S128" s="121"/>
      <c r="T128" s="122"/>
      <c r="U128" s="121"/>
      <c r="V128" s="121"/>
      <c r="W128" s="121"/>
      <c r="X128" s="121"/>
      <c r="Y128" s="121"/>
      <c r="Z128" s="121"/>
      <c r="AA128" s="121"/>
    </row>
    <row r="129" spans="2:27">
      <c r="B129" s="37" t="s">
        <v>340</v>
      </c>
      <c r="C129" s="40" t="s">
        <v>13</v>
      </c>
      <c r="D129" s="37" t="s">
        <v>14</v>
      </c>
      <c r="E129" s="39">
        <v>720000</v>
      </c>
      <c r="F129" s="37">
        <v>2017</v>
      </c>
      <c r="G129" s="38" t="s">
        <v>341</v>
      </c>
      <c r="H129" s="37" t="s">
        <v>34</v>
      </c>
      <c r="I129" s="37" t="s">
        <v>34</v>
      </c>
      <c r="J129" s="37" t="s">
        <v>34</v>
      </c>
      <c r="K129" s="37" t="s">
        <v>34</v>
      </c>
      <c r="L129" s="37" t="s">
        <v>34</v>
      </c>
      <c r="O129" s="57"/>
      <c r="P129" s="57"/>
      <c r="Q129" s="57"/>
      <c r="R129" s="121"/>
      <c r="S129" s="121"/>
      <c r="T129" s="122"/>
      <c r="U129" s="121"/>
      <c r="V129" s="121"/>
      <c r="W129" s="121"/>
      <c r="X129" s="121"/>
      <c r="Y129" s="121"/>
      <c r="Z129" s="121"/>
      <c r="AA129" s="121"/>
    </row>
    <row r="130" spans="2:27">
      <c r="B130" s="37" t="s">
        <v>342</v>
      </c>
      <c r="C130" s="40" t="s">
        <v>13</v>
      </c>
      <c r="D130" s="37" t="s">
        <v>14</v>
      </c>
      <c r="E130" s="39">
        <v>545000</v>
      </c>
      <c r="F130" s="37">
        <v>1989</v>
      </c>
      <c r="G130" s="38" t="s">
        <v>343</v>
      </c>
      <c r="H130" s="37" t="s">
        <v>35</v>
      </c>
      <c r="I130" s="37" t="s">
        <v>34</v>
      </c>
      <c r="J130" s="37" t="s">
        <v>34</v>
      </c>
      <c r="K130" s="37" t="s">
        <v>34</v>
      </c>
      <c r="L130" s="37" t="s">
        <v>35</v>
      </c>
      <c r="O130" s="57"/>
      <c r="P130" s="57"/>
      <c r="Q130" s="57"/>
      <c r="R130" s="121"/>
      <c r="S130" s="121"/>
      <c r="T130" s="122"/>
      <c r="U130" s="121"/>
      <c r="V130" s="121"/>
      <c r="W130" s="121"/>
      <c r="X130" s="121"/>
      <c r="Y130" s="121"/>
      <c r="Z130" s="121"/>
      <c r="AA130" s="121"/>
    </row>
    <row r="131" spans="2:27">
      <c r="B131" s="37" t="s">
        <v>344</v>
      </c>
      <c r="C131" s="40" t="s">
        <v>13</v>
      </c>
      <c r="D131" s="37" t="s">
        <v>177</v>
      </c>
      <c r="E131" s="39">
        <v>835000</v>
      </c>
      <c r="F131" s="37">
        <v>1989</v>
      </c>
      <c r="G131" s="38" t="s">
        <v>345</v>
      </c>
      <c r="H131" s="37" t="s">
        <v>34</v>
      </c>
      <c r="I131" s="37" t="s">
        <v>34</v>
      </c>
      <c r="J131" s="37" t="s">
        <v>34</v>
      </c>
      <c r="K131" s="37" t="s">
        <v>34</v>
      </c>
      <c r="L131" s="37" t="s">
        <v>35</v>
      </c>
      <c r="O131" s="57"/>
      <c r="P131" s="57"/>
      <c r="Q131" s="57"/>
      <c r="R131" s="121"/>
      <c r="S131" s="121"/>
      <c r="T131" s="122"/>
      <c r="U131" s="121"/>
      <c r="V131" s="121"/>
      <c r="W131" s="121"/>
      <c r="X131" s="121"/>
      <c r="Y131" s="121"/>
      <c r="Z131" s="121"/>
      <c r="AA131" s="121"/>
    </row>
    <row r="132" spans="2:27">
      <c r="B132" s="37" t="s">
        <v>346</v>
      </c>
      <c r="C132" s="40" t="s">
        <v>13</v>
      </c>
      <c r="D132" s="37" t="s">
        <v>177</v>
      </c>
      <c r="E132" s="39">
        <v>800000</v>
      </c>
      <c r="F132" s="37">
        <v>1989</v>
      </c>
      <c r="G132" s="38" t="s">
        <v>320</v>
      </c>
      <c r="H132" s="37" t="s">
        <v>34</v>
      </c>
      <c r="I132" s="37" t="s">
        <v>34</v>
      </c>
      <c r="J132" s="37" t="s">
        <v>34</v>
      </c>
      <c r="K132" s="37" t="s">
        <v>34</v>
      </c>
      <c r="L132" s="37" t="s">
        <v>34</v>
      </c>
      <c r="O132" s="57"/>
      <c r="P132" s="57"/>
      <c r="Q132" s="57"/>
      <c r="R132" s="121"/>
      <c r="S132" s="121"/>
      <c r="T132" s="122"/>
      <c r="U132" s="121"/>
      <c r="V132" s="121"/>
      <c r="W132" s="121"/>
      <c r="X132" s="121"/>
      <c r="Y132" s="121"/>
      <c r="Z132" s="121"/>
      <c r="AA132" s="121"/>
    </row>
    <row r="133" spans="2:27">
      <c r="B133" s="37" t="s">
        <v>347</v>
      </c>
      <c r="C133" s="40" t="s">
        <v>13</v>
      </c>
      <c r="D133" s="37" t="s">
        <v>177</v>
      </c>
      <c r="E133" s="39">
        <v>788000</v>
      </c>
      <c r="F133" s="37">
        <v>1989</v>
      </c>
      <c r="G133" s="38" t="s">
        <v>348</v>
      </c>
      <c r="H133" s="37" t="s">
        <v>34</v>
      </c>
      <c r="I133" s="37" t="s">
        <v>34</v>
      </c>
      <c r="J133" s="37" t="s">
        <v>34</v>
      </c>
      <c r="K133" s="37" t="s">
        <v>34</v>
      </c>
      <c r="L133" s="37" t="s">
        <v>34</v>
      </c>
      <c r="O133" s="57"/>
      <c r="P133" s="57"/>
      <c r="Q133" s="57"/>
      <c r="R133" s="121"/>
      <c r="S133" s="121"/>
      <c r="T133" s="122"/>
      <c r="U133" s="121"/>
      <c r="V133" s="121"/>
      <c r="W133" s="121"/>
      <c r="X133" s="121"/>
      <c r="Y133" s="121"/>
      <c r="Z133" s="121"/>
      <c r="AA133" s="121"/>
    </row>
    <row r="134" spans="2:27">
      <c r="B134" s="37" t="s">
        <v>349</v>
      </c>
      <c r="C134" s="32" t="s">
        <v>350</v>
      </c>
      <c r="D134" s="37" t="s">
        <v>82</v>
      </c>
      <c r="E134" s="39">
        <v>406000</v>
      </c>
      <c r="F134" s="37">
        <v>1978</v>
      </c>
      <c r="G134" s="38" t="s">
        <v>351</v>
      </c>
      <c r="H134" s="37" t="s">
        <v>34</v>
      </c>
      <c r="I134" s="37" t="s">
        <v>34</v>
      </c>
      <c r="J134" s="37" t="s">
        <v>34</v>
      </c>
      <c r="K134" s="37" t="s">
        <v>34</v>
      </c>
      <c r="L134" s="37" t="s">
        <v>34</v>
      </c>
      <c r="O134" s="57"/>
      <c r="P134" s="57"/>
      <c r="Q134" s="57"/>
      <c r="R134" s="121"/>
      <c r="S134" s="121"/>
      <c r="T134" s="122"/>
      <c r="U134" s="121"/>
      <c r="V134" s="121"/>
      <c r="W134" s="121"/>
      <c r="X134" s="121"/>
      <c r="Y134" s="121"/>
      <c r="Z134" s="121"/>
      <c r="AA134" s="121"/>
    </row>
    <row r="135" spans="2:27">
      <c r="B135" s="37" t="s">
        <v>352</v>
      </c>
      <c r="C135" s="32" t="s">
        <v>350</v>
      </c>
      <c r="D135" s="37" t="s">
        <v>82</v>
      </c>
      <c r="E135" s="39">
        <v>480000</v>
      </c>
      <c r="F135" s="37">
        <v>1978</v>
      </c>
      <c r="G135" s="38" t="s">
        <v>131</v>
      </c>
      <c r="H135" s="37" t="s">
        <v>34</v>
      </c>
      <c r="I135" s="37" t="s">
        <v>34</v>
      </c>
      <c r="J135" s="37" t="s">
        <v>34</v>
      </c>
      <c r="K135" s="37" t="s">
        <v>34</v>
      </c>
      <c r="L135" s="37" t="s">
        <v>34</v>
      </c>
      <c r="O135" s="57"/>
      <c r="P135" s="57"/>
      <c r="Q135" s="57"/>
      <c r="R135" s="121"/>
      <c r="S135" s="121"/>
      <c r="T135" s="122"/>
      <c r="U135" s="121"/>
      <c r="V135" s="121"/>
      <c r="W135" s="121"/>
      <c r="X135" s="121"/>
      <c r="Y135" s="121"/>
      <c r="Z135" s="121"/>
      <c r="AA135" s="121"/>
    </row>
    <row r="136" spans="2:27">
      <c r="B136" s="37" t="s">
        <v>353</v>
      </c>
      <c r="C136" s="32" t="s">
        <v>350</v>
      </c>
      <c r="D136" s="37" t="s">
        <v>82</v>
      </c>
      <c r="E136" s="39">
        <v>650000</v>
      </c>
      <c r="F136" s="37">
        <v>2017</v>
      </c>
      <c r="G136" s="38" t="s">
        <v>354</v>
      </c>
      <c r="H136" s="37" t="s">
        <v>34</v>
      </c>
      <c r="I136" s="37" t="s">
        <v>34</v>
      </c>
      <c r="J136" s="37" t="s">
        <v>34</v>
      </c>
      <c r="K136" s="37" t="s">
        <v>34</v>
      </c>
      <c r="L136" s="37" t="s">
        <v>34</v>
      </c>
      <c r="O136" s="57"/>
      <c r="P136" s="57"/>
      <c r="Q136" s="57"/>
      <c r="R136" s="121"/>
      <c r="S136" s="121"/>
      <c r="T136" s="122"/>
      <c r="U136" s="121"/>
      <c r="V136" s="121"/>
      <c r="W136" s="121"/>
      <c r="X136" s="121"/>
      <c r="Y136" s="121"/>
      <c r="Z136" s="121"/>
      <c r="AA136" s="121"/>
    </row>
    <row r="137" spans="2:27">
      <c r="B137" s="37" t="s">
        <v>355</v>
      </c>
      <c r="C137" s="32" t="s">
        <v>350</v>
      </c>
      <c r="D137" s="37" t="s">
        <v>82</v>
      </c>
      <c r="E137" s="39">
        <v>392000</v>
      </c>
      <c r="F137" s="37">
        <v>1983</v>
      </c>
      <c r="G137" s="38" t="s">
        <v>356</v>
      </c>
      <c r="H137" s="37" t="s">
        <v>34</v>
      </c>
      <c r="I137" s="37" t="s">
        <v>34</v>
      </c>
      <c r="J137" s="37" t="s">
        <v>34</v>
      </c>
      <c r="K137" s="37" t="s">
        <v>34</v>
      </c>
      <c r="L137" s="37" t="s">
        <v>34</v>
      </c>
      <c r="O137" s="57"/>
      <c r="P137" s="57"/>
      <c r="Q137" s="57"/>
      <c r="R137" s="121"/>
      <c r="S137" s="121"/>
      <c r="T137" s="122"/>
      <c r="U137" s="121"/>
      <c r="V137" s="121"/>
      <c r="W137" s="121"/>
      <c r="X137" s="121"/>
      <c r="Y137" s="121"/>
      <c r="Z137" s="121"/>
      <c r="AA137" s="121"/>
    </row>
    <row r="138" spans="2:27">
      <c r="B138" s="37" t="s">
        <v>357</v>
      </c>
      <c r="C138" s="32" t="s">
        <v>350</v>
      </c>
      <c r="D138" s="37" t="s">
        <v>82</v>
      </c>
      <c r="E138" s="39">
        <v>345000</v>
      </c>
      <c r="F138" s="37">
        <v>1980</v>
      </c>
      <c r="G138" s="38" t="s">
        <v>358</v>
      </c>
      <c r="H138" s="37" t="s">
        <v>34</v>
      </c>
      <c r="I138" s="37" t="s">
        <v>35</v>
      </c>
      <c r="J138" s="37" t="s">
        <v>35</v>
      </c>
      <c r="K138" s="37" t="s">
        <v>34</v>
      </c>
      <c r="L138" s="37" t="s">
        <v>35</v>
      </c>
      <c r="O138" s="57"/>
      <c r="P138" s="57"/>
      <c r="Q138" s="57"/>
      <c r="R138" s="121"/>
      <c r="S138" s="121"/>
      <c r="T138" s="122"/>
      <c r="U138" s="121"/>
      <c r="V138" s="121"/>
      <c r="W138" s="121"/>
      <c r="X138" s="121"/>
      <c r="Y138" s="121"/>
      <c r="Z138" s="121"/>
      <c r="AA138" s="121"/>
    </row>
    <row r="139" spans="2:27">
      <c r="B139" s="37" t="s">
        <v>359</v>
      </c>
      <c r="C139" s="32" t="s">
        <v>350</v>
      </c>
      <c r="D139" s="37" t="s">
        <v>71</v>
      </c>
      <c r="E139" s="39">
        <v>500000</v>
      </c>
      <c r="F139" s="37">
        <v>1980</v>
      </c>
      <c r="G139" s="38" t="s">
        <v>360</v>
      </c>
      <c r="H139" s="37" t="s">
        <v>34</v>
      </c>
      <c r="I139" s="37" t="s">
        <v>35</v>
      </c>
      <c r="J139" s="37" t="s">
        <v>35</v>
      </c>
      <c r="K139" s="37" t="s">
        <v>34</v>
      </c>
      <c r="L139" s="37" t="s">
        <v>35</v>
      </c>
      <c r="O139" s="57"/>
      <c r="P139" s="57"/>
      <c r="Q139" s="57"/>
      <c r="R139" s="121"/>
      <c r="S139" s="121"/>
      <c r="T139" s="122"/>
      <c r="U139" s="121"/>
      <c r="V139" s="121"/>
      <c r="W139" s="121"/>
      <c r="X139" s="121"/>
      <c r="Y139" s="121"/>
      <c r="Z139" s="121"/>
      <c r="AA139" s="121"/>
    </row>
    <row r="140" spans="2:27">
      <c r="B140" s="37" t="s">
        <v>361</v>
      </c>
      <c r="C140" s="32" t="s">
        <v>350</v>
      </c>
      <c r="D140" s="37" t="s">
        <v>14</v>
      </c>
      <c r="E140" s="39">
        <v>850000</v>
      </c>
      <c r="F140" s="37">
        <v>1978</v>
      </c>
      <c r="G140" s="38" t="s">
        <v>362</v>
      </c>
      <c r="H140" s="37" t="s">
        <v>35</v>
      </c>
      <c r="I140" s="37" t="s">
        <v>34</v>
      </c>
      <c r="J140" s="37" t="s">
        <v>35</v>
      </c>
      <c r="K140" s="37" t="s">
        <v>34</v>
      </c>
      <c r="L140" s="37" t="s">
        <v>35</v>
      </c>
      <c r="O140" s="57"/>
      <c r="P140" s="57"/>
      <c r="Q140" s="57"/>
      <c r="R140" s="121"/>
      <c r="S140" s="121"/>
      <c r="T140" s="122"/>
      <c r="U140" s="121"/>
      <c r="V140" s="121"/>
      <c r="W140" s="121"/>
      <c r="X140" s="121"/>
      <c r="Y140" s="121"/>
      <c r="Z140" s="121"/>
      <c r="AA140" s="121"/>
    </row>
    <row r="141" spans="2:27">
      <c r="B141" s="37" t="s">
        <v>363</v>
      </c>
      <c r="C141" s="32" t="s">
        <v>364</v>
      </c>
      <c r="D141" s="37" t="s">
        <v>82</v>
      </c>
      <c r="E141" s="39">
        <v>380888</v>
      </c>
      <c r="F141" s="37">
        <v>1982</v>
      </c>
      <c r="G141" s="38" t="s">
        <v>365</v>
      </c>
      <c r="H141" s="37" t="s">
        <v>34</v>
      </c>
      <c r="I141" s="37" t="s">
        <v>35</v>
      </c>
      <c r="J141" s="37" t="s">
        <v>34</v>
      </c>
      <c r="K141" s="37" t="s">
        <v>34</v>
      </c>
      <c r="L141" s="37" t="s">
        <v>34</v>
      </c>
      <c r="O141" s="57"/>
      <c r="P141" s="57"/>
      <c r="Q141" s="57"/>
      <c r="R141" s="121"/>
      <c r="S141" s="121"/>
      <c r="T141" s="122"/>
      <c r="U141" s="121"/>
      <c r="V141" s="121"/>
      <c r="W141" s="121"/>
      <c r="X141" s="121"/>
      <c r="Y141" s="121"/>
      <c r="Z141" s="121"/>
      <c r="AA141" s="121"/>
    </row>
    <row r="142" spans="2:27">
      <c r="B142" s="37" t="s">
        <v>366</v>
      </c>
      <c r="C142" s="32" t="s">
        <v>364</v>
      </c>
      <c r="D142" s="37" t="s">
        <v>71</v>
      </c>
      <c r="E142" s="39">
        <v>695500</v>
      </c>
      <c r="F142" s="37">
        <v>1997</v>
      </c>
      <c r="G142" s="38" t="s">
        <v>299</v>
      </c>
      <c r="H142" s="37" t="s">
        <v>34</v>
      </c>
      <c r="I142" s="37" t="s">
        <v>34</v>
      </c>
      <c r="J142" s="37" t="s">
        <v>34</v>
      </c>
      <c r="K142" s="37" t="s">
        <v>34</v>
      </c>
      <c r="L142" s="37" t="s">
        <v>34</v>
      </c>
      <c r="O142" s="57"/>
      <c r="P142" s="57"/>
      <c r="Q142" s="57"/>
      <c r="R142" s="121"/>
      <c r="S142" s="121"/>
      <c r="T142" s="122"/>
      <c r="U142" s="121"/>
      <c r="V142" s="121"/>
      <c r="W142" s="121"/>
      <c r="X142" s="121"/>
      <c r="Y142" s="121"/>
      <c r="Z142" s="121"/>
      <c r="AA142" s="121"/>
    </row>
    <row r="143" spans="2:27">
      <c r="B143" s="37" t="s">
        <v>367</v>
      </c>
      <c r="C143" s="32" t="s">
        <v>364</v>
      </c>
      <c r="D143" s="37" t="s">
        <v>71</v>
      </c>
      <c r="E143" s="39">
        <v>588000</v>
      </c>
      <c r="F143" s="37">
        <v>1986</v>
      </c>
      <c r="G143" s="38" t="s">
        <v>368</v>
      </c>
      <c r="H143" s="37" t="s">
        <v>34</v>
      </c>
      <c r="I143" s="37" t="s">
        <v>34</v>
      </c>
      <c r="J143" s="37" t="s">
        <v>34</v>
      </c>
      <c r="K143" s="37" t="s">
        <v>34</v>
      </c>
      <c r="L143" s="37" t="s">
        <v>34</v>
      </c>
      <c r="O143" s="57"/>
      <c r="P143" s="57"/>
      <c r="Q143" s="57"/>
      <c r="R143" s="121"/>
      <c r="S143" s="121"/>
      <c r="T143" s="122"/>
      <c r="U143" s="121"/>
      <c r="V143" s="121"/>
      <c r="W143" s="121"/>
      <c r="X143" s="121"/>
      <c r="Y143" s="121"/>
      <c r="Z143" s="121"/>
      <c r="AA143" s="121"/>
    </row>
    <row r="144" spans="2:27">
      <c r="B144" s="37" t="s">
        <v>369</v>
      </c>
      <c r="C144" s="32" t="s">
        <v>364</v>
      </c>
      <c r="D144" s="37" t="s">
        <v>71</v>
      </c>
      <c r="E144" s="39">
        <v>500000</v>
      </c>
      <c r="F144" s="37">
        <v>1986</v>
      </c>
      <c r="G144" s="38" t="s">
        <v>370</v>
      </c>
      <c r="H144" s="37" t="s">
        <v>34</v>
      </c>
      <c r="I144" s="37" t="s">
        <v>34</v>
      </c>
      <c r="J144" s="37" t="s">
        <v>34</v>
      </c>
      <c r="K144" s="37" t="s">
        <v>34</v>
      </c>
      <c r="L144" s="37" t="s">
        <v>34</v>
      </c>
      <c r="O144" s="57"/>
      <c r="P144" s="57"/>
      <c r="Q144" s="57"/>
      <c r="R144" s="121"/>
      <c r="S144" s="121"/>
      <c r="T144" s="122"/>
      <c r="U144" s="121"/>
      <c r="V144" s="121"/>
      <c r="W144" s="121"/>
      <c r="X144" s="121"/>
      <c r="Y144" s="121"/>
      <c r="Z144" s="121"/>
      <c r="AA144" s="121"/>
    </row>
    <row r="145" spans="2:27">
      <c r="B145" s="37" t="s">
        <v>371</v>
      </c>
      <c r="C145" s="32" t="s">
        <v>364</v>
      </c>
      <c r="D145" s="37" t="s">
        <v>14</v>
      </c>
      <c r="E145" s="39">
        <v>905000</v>
      </c>
      <c r="F145" s="37">
        <v>1984</v>
      </c>
      <c r="G145" s="38" t="s">
        <v>191</v>
      </c>
      <c r="H145" s="37" t="s">
        <v>34</v>
      </c>
      <c r="I145" s="37" t="s">
        <v>34</v>
      </c>
      <c r="J145" s="37" t="s">
        <v>34</v>
      </c>
      <c r="K145" s="37" t="s">
        <v>34</v>
      </c>
      <c r="L145" s="37" t="s">
        <v>34</v>
      </c>
      <c r="O145" s="57"/>
      <c r="P145" s="57"/>
      <c r="Q145" s="57"/>
      <c r="R145" s="121"/>
      <c r="S145" s="121"/>
      <c r="T145" s="122"/>
      <c r="U145" s="121"/>
      <c r="V145" s="121"/>
      <c r="W145" s="121"/>
      <c r="X145" s="121"/>
      <c r="Y145" s="121"/>
      <c r="Z145" s="121"/>
      <c r="AA145" s="121"/>
    </row>
    <row r="146" spans="2:27">
      <c r="B146" s="37" t="s">
        <v>40</v>
      </c>
      <c r="C146" s="40" t="s">
        <v>30</v>
      </c>
      <c r="D146" s="37" t="s">
        <v>31</v>
      </c>
      <c r="E146" s="39">
        <v>338000</v>
      </c>
      <c r="F146" s="37">
        <v>2019</v>
      </c>
      <c r="G146" s="38" t="s">
        <v>41</v>
      </c>
      <c r="H146" s="37" t="s">
        <v>35</v>
      </c>
      <c r="I146" s="37" t="s">
        <v>34</v>
      </c>
      <c r="J146" s="37" t="s">
        <v>35</v>
      </c>
      <c r="K146" s="37" t="s">
        <v>34</v>
      </c>
      <c r="L146" s="37" t="s">
        <v>34</v>
      </c>
      <c r="O146" s="57"/>
      <c r="P146" s="57"/>
      <c r="Q146" s="57"/>
      <c r="R146" s="121"/>
      <c r="S146" s="121"/>
      <c r="T146" s="122"/>
      <c r="U146" s="121"/>
      <c r="V146" s="121"/>
      <c r="W146" s="121"/>
      <c r="X146" s="121"/>
      <c r="Y146" s="121"/>
      <c r="Z146" s="121"/>
      <c r="AA146" s="121"/>
    </row>
    <row r="147" spans="2:27">
      <c r="B147" s="37" t="s">
        <v>42</v>
      </c>
      <c r="C147" s="40" t="s">
        <v>30</v>
      </c>
      <c r="D147" s="37" t="s">
        <v>31</v>
      </c>
      <c r="E147" s="39">
        <v>350000</v>
      </c>
      <c r="F147" s="37">
        <v>2019</v>
      </c>
      <c r="G147" s="38" t="s">
        <v>43</v>
      </c>
      <c r="H147" s="37" t="s">
        <v>34</v>
      </c>
      <c r="I147" s="37" t="s">
        <v>34</v>
      </c>
      <c r="J147" s="37" t="s">
        <v>35</v>
      </c>
      <c r="K147" s="37" t="s">
        <v>34</v>
      </c>
      <c r="L147" s="37" t="s">
        <v>34</v>
      </c>
      <c r="O147" s="57"/>
      <c r="P147" s="57"/>
      <c r="Q147" s="57"/>
      <c r="R147" s="121"/>
      <c r="S147" s="121"/>
      <c r="T147" s="122"/>
      <c r="U147" s="121"/>
      <c r="V147" s="121"/>
      <c r="W147" s="121"/>
      <c r="X147" s="121"/>
      <c r="Y147" s="121"/>
      <c r="Z147" s="121"/>
      <c r="AA147" s="121"/>
    </row>
    <row r="148" spans="2:27">
      <c r="B148" s="37" t="s">
        <v>372</v>
      </c>
      <c r="C148" s="40" t="s">
        <v>30</v>
      </c>
      <c r="D148" s="37" t="s">
        <v>82</v>
      </c>
      <c r="E148" s="39">
        <v>376000</v>
      </c>
      <c r="F148" s="37">
        <v>1981</v>
      </c>
      <c r="G148" s="38" t="s">
        <v>373</v>
      </c>
      <c r="H148" s="37" t="s">
        <v>35</v>
      </c>
      <c r="I148" s="37" t="s">
        <v>35</v>
      </c>
      <c r="J148" s="37" t="s">
        <v>34</v>
      </c>
      <c r="K148" s="37" t="s">
        <v>34</v>
      </c>
      <c r="L148" s="37" t="s">
        <v>34</v>
      </c>
      <c r="O148" s="57"/>
      <c r="P148" s="57"/>
      <c r="Q148" s="57"/>
      <c r="R148" s="121"/>
      <c r="S148" s="121"/>
      <c r="T148" s="122"/>
      <c r="U148" s="121"/>
      <c r="V148" s="121"/>
      <c r="W148" s="121"/>
      <c r="X148" s="121"/>
      <c r="Y148" s="121"/>
      <c r="Z148" s="121"/>
      <c r="AA148" s="121"/>
    </row>
    <row r="149" spans="2:27">
      <c r="B149" s="37" t="s">
        <v>374</v>
      </c>
      <c r="C149" s="40" t="s">
        <v>30</v>
      </c>
      <c r="D149" s="37" t="s">
        <v>82</v>
      </c>
      <c r="E149" s="39">
        <v>410000</v>
      </c>
      <c r="F149" s="37">
        <v>1985</v>
      </c>
      <c r="G149" s="38" t="s">
        <v>375</v>
      </c>
      <c r="H149" s="37" t="s">
        <v>34</v>
      </c>
      <c r="I149" s="37" t="s">
        <v>35</v>
      </c>
      <c r="J149" s="37" t="s">
        <v>35</v>
      </c>
      <c r="K149" s="37" t="s">
        <v>34</v>
      </c>
      <c r="L149" s="37" t="s">
        <v>35</v>
      </c>
      <c r="O149" s="57"/>
      <c r="P149" s="57"/>
      <c r="Q149" s="57"/>
      <c r="R149" s="121"/>
      <c r="S149" s="121"/>
      <c r="T149" s="122"/>
      <c r="U149" s="121"/>
      <c r="V149" s="121"/>
      <c r="W149" s="121"/>
      <c r="X149" s="121"/>
      <c r="Y149" s="121"/>
      <c r="Z149" s="121"/>
      <c r="AA149" s="121"/>
    </row>
    <row r="150" spans="2:27">
      <c r="B150" s="37" t="s">
        <v>376</v>
      </c>
      <c r="C150" s="40" t="s">
        <v>30</v>
      </c>
      <c r="D150" s="37" t="s">
        <v>82</v>
      </c>
      <c r="E150" s="39">
        <v>438000</v>
      </c>
      <c r="F150" s="37">
        <v>1983</v>
      </c>
      <c r="G150" s="38" t="s">
        <v>377</v>
      </c>
      <c r="H150" s="37" t="s">
        <v>34</v>
      </c>
      <c r="I150" s="37" t="s">
        <v>35</v>
      </c>
      <c r="J150" s="37" t="s">
        <v>34</v>
      </c>
      <c r="K150" s="37" t="s">
        <v>34</v>
      </c>
      <c r="L150" s="37" t="s">
        <v>34</v>
      </c>
      <c r="O150" s="57"/>
      <c r="P150" s="57"/>
      <c r="Q150" s="57"/>
      <c r="R150" s="121"/>
      <c r="S150" s="121"/>
      <c r="T150" s="122"/>
      <c r="U150" s="121"/>
      <c r="V150" s="121"/>
      <c r="W150" s="121"/>
      <c r="X150" s="121"/>
      <c r="Y150" s="121"/>
      <c r="Z150" s="121"/>
      <c r="AA150" s="121"/>
    </row>
    <row r="151" spans="2:27">
      <c r="B151" s="37" t="s">
        <v>378</v>
      </c>
      <c r="C151" s="40" t="s">
        <v>30</v>
      </c>
      <c r="D151" s="37" t="s">
        <v>71</v>
      </c>
      <c r="E151" s="39">
        <v>503000</v>
      </c>
      <c r="F151" s="37">
        <v>2003</v>
      </c>
      <c r="G151" s="38" t="s">
        <v>379</v>
      </c>
      <c r="H151" s="37" t="s">
        <v>35</v>
      </c>
      <c r="I151" s="37" t="s">
        <v>34</v>
      </c>
      <c r="J151" s="37" t="s">
        <v>34</v>
      </c>
      <c r="K151" s="37" t="s">
        <v>34</v>
      </c>
      <c r="L151" s="37" t="s">
        <v>34</v>
      </c>
      <c r="O151" s="57"/>
      <c r="P151" s="57"/>
      <c r="Q151" s="57"/>
      <c r="R151" s="121"/>
      <c r="S151" s="121"/>
      <c r="T151" s="122"/>
      <c r="U151" s="121"/>
      <c r="V151" s="121"/>
      <c r="W151" s="121"/>
      <c r="X151" s="121"/>
      <c r="Y151" s="121"/>
      <c r="Z151" s="121"/>
      <c r="AA151" s="121"/>
    </row>
    <row r="152" spans="2:27">
      <c r="B152" s="37" t="s">
        <v>380</v>
      </c>
      <c r="C152" s="40" t="s">
        <v>30</v>
      </c>
      <c r="D152" s="37" t="s">
        <v>71</v>
      </c>
      <c r="E152" s="39">
        <v>540000</v>
      </c>
      <c r="F152" s="37">
        <v>2003</v>
      </c>
      <c r="G152" s="38" t="s">
        <v>334</v>
      </c>
      <c r="H152" s="37" t="s">
        <v>34</v>
      </c>
      <c r="I152" s="37" t="s">
        <v>34</v>
      </c>
      <c r="J152" s="37" t="s">
        <v>34</v>
      </c>
      <c r="K152" s="37" t="s">
        <v>34</v>
      </c>
      <c r="L152" s="37" t="s">
        <v>35</v>
      </c>
      <c r="O152" s="57"/>
      <c r="P152" s="57"/>
      <c r="Q152" s="57"/>
      <c r="R152" s="121"/>
      <c r="S152" s="121"/>
      <c r="T152" s="122"/>
      <c r="U152" s="121"/>
      <c r="V152" s="121"/>
      <c r="W152" s="121"/>
      <c r="X152" s="121"/>
      <c r="Y152" s="121"/>
      <c r="Z152" s="121"/>
      <c r="AA152" s="121"/>
    </row>
    <row r="153" spans="2:27">
      <c r="B153" s="37" t="s">
        <v>40</v>
      </c>
      <c r="C153" s="40" t="s">
        <v>30</v>
      </c>
      <c r="D153" s="37" t="s">
        <v>71</v>
      </c>
      <c r="E153" s="39">
        <v>640000</v>
      </c>
      <c r="F153" s="37">
        <v>2019</v>
      </c>
      <c r="G153" s="38" t="s">
        <v>381</v>
      </c>
      <c r="H153" s="37" t="s">
        <v>34</v>
      </c>
      <c r="I153" s="37" t="s">
        <v>34</v>
      </c>
      <c r="J153" s="37" t="s">
        <v>35</v>
      </c>
      <c r="K153" s="37" t="s">
        <v>34</v>
      </c>
      <c r="L153" s="37" t="s">
        <v>35</v>
      </c>
      <c r="O153" s="57"/>
      <c r="P153" s="57"/>
      <c r="Q153" s="57"/>
      <c r="R153" s="121"/>
      <c r="S153" s="121"/>
      <c r="T153" s="122"/>
      <c r="U153" s="121"/>
      <c r="V153" s="121"/>
      <c r="W153" s="121"/>
      <c r="X153" s="121"/>
      <c r="Y153" s="121"/>
      <c r="Z153" s="121"/>
      <c r="AA153" s="121"/>
    </row>
    <row r="154" spans="2:27">
      <c r="B154" s="37" t="s">
        <v>382</v>
      </c>
      <c r="C154" s="40" t="s">
        <v>30</v>
      </c>
      <c r="D154" s="37" t="s">
        <v>71</v>
      </c>
      <c r="E154" s="39">
        <v>560000</v>
      </c>
      <c r="F154" s="37">
        <v>2019</v>
      </c>
      <c r="G154" s="38" t="s">
        <v>381</v>
      </c>
      <c r="H154" s="37" t="s">
        <v>34</v>
      </c>
      <c r="I154" s="37" t="s">
        <v>35</v>
      </c>
      <c r="J154" s="37" t="s">
        <v>35</v>
      </c>
      <c r="K154" s="37" t="s">
        <v>34</v>
      </c>
      <c r="L154" s="37" t="s">
        <v>35</v>
      </c>
      <c r="O154" s="57"/>
      <c r="P154" s="57"/>
      <c r="Q154" s="57"/>
      <c r="R154" s="121"/>
      <c r="S154" s="121"/>
      <c r="T154" s="122"/>
      <c r="U154" s="121"/>
      <c r="V154" s="121"/>
      <c r="W154" s="121"/>
      <c r="X154" s="121"/>
      <c r="Y154" s="121"/>
      <c r="Z154" s="121"/>
      <c r="AA154" s="121"/>
    </row>
    <row r="155" spans="2:27">
      <c r="B155" s="37" t="s">
        <v>383</v>
      </c>
      <c r="C155" s="40" t="s">
        <v>30</v>
      </c>
      <c r="D155" s="37" t="s">
        <v>71</v>
      </c>
      <c r="E155" s="39">
        <v>478500</v>
      </c>
      <c r="F155" s="37">
        <v>1985</v>
      </c>
      <c r="G155" s="38" t="s">
        <v>375</v>
      </c>
      <c r="H155" s="37" t="s">
        <v>34</v>
      </c>
      <c r="I155" s="37" t="s">
        <v>34</v>
      </c>
      <c r="J155" s="37" t="s">
        <v>34</v>
      </c>
      <c r="K155" s="37" t="s">
        <v>34</v>
      </c>
      <c r="L155" s="37" t="s">
        <v>34</v>
      </c>
      <c r="O155" s="57"/>
      <c r="P155" s="57"/>
      <c r="Q155" s="57"/>
      <c r="R155" s="121"/>
      <c r="S155" s="121"/>
      <c r="T155" s="122"/>
      <c r="U155" s="121"/>
      <c r="V155" s="121"/>
      <c r="W155" s="121"/>
      <c r="X155" s="121"/>
      <c r="Y155" s="121"/>
      <c r="Z155" s="121"/>
      <c r="AA155" s="121"/>
    </row>
    <row r="156" spans="2:27">
      <c r="B156" s="37" t="s">
        <v>384</v>
      </c>
      <c r="C156" s="40" t="s">
        <v>30</v>
      </c>
      <c r="D156" s="37" t="s">
        <v>71</v>
      </c>
      <c r="E156" s="39">
        <v>540000</v>
      </c>
      <c r="F156" s="37">
        <v>1989</v>
      </c>
      <c r="G156" s="38" t="s">
        <v>385</v>
      </c>
      <c r="H156" s="37" t="s">
        <v>34</v>
      </c>
      <c r="I156" s="37" t="s">
        <v>34</v>
      </c>
      <c r="J156" s="37" t="s">
        <v>34</v>
      </c>
      <c r="K156" s="37" t="s">
        <v>34</v>
      </c>
      <c r="L156" s="37" t="s">
        <v>34</v>
      </c>
      <c r="O156" s="57"/>
      <c r="P156" s="57"/>
      <c r="Q156" s="57"/>
      <c r="R156" s="121"/>
      <c r="S156" s="121"/>
      <c r="T156" s="122"/>
      <c r="U156" s="121"/>
      <c r="V156" s="121"/>
      <c r="W156" s="121"/>
      <c r="X156" s="121"/>
      <c r="Y156" s="121"/>
      <c r="Z156" s="121"/>
      <c r="AA156" s="121"/>
    </row>
    <row r="157" spans="2:27">
      <c r="B157" s="37" t="s">
        <v>386</v>
      </c>
      <c r="C157" s="40" t="s">
        <v>30</v>
      </c>
      <c r="D157" s="37" t="s">
        <v>71</v>
      </c>
      <c r="E157" s="39">
        <v>690000</v>
      </c>
      <c r="F157" s="37">
        <v>2017</v>
      </c>
      <c r="G157" s="38" t="s">
        <v>387</v>
      </c>
      <c r="H157" s="37" t="s">
        <v>35</v>
      </c>
      <c r="I157" s="37" t="s">
        <v>34</v>
      </c>
      <c r="J157" s="37" t="s">
        <v>34</v>
      </c>
      <c r="K157" s="37" t="s">
        <v>34</v>
      </c>
      <c r="L157" s="37" t="s">
        <v>34</v>
      </c>
      <c r="O157" s="57"/>
      <c r="P157" s="57"/>
      <c r="Q157" s="57"/>
      <c r="R157" s="121"/>
      <c r="S157" s="121"/>
      <c r="T157" s="122"/>
      <c r="U157" s="121"/>
      <c r="V157" s="121"/>
      <c r="W157" s="121"/>
      <c r="X157" s="121"/>
      <c r="Y157" s="121"/>
      <c r="Z157" s="121"/>
      <c r="AA157" s="121"/>
    </row>
    <row r="158" spans="2:27">
      <c r="B158" s="37" t="s">
        <v>388</v>
      </c>
      <c r="C158" s="40" t="s">
        <v>30</v>
      </c>
      <c r="D158" s="37" t="s">
        <v>71</v>
      </c>
      <c r="E158" s="39">
        <v>485000</v>
      </c>
      <c r="F158" s="37">
        <v>1997</v>
      </c>
      <c r="G158" s="38" t="s">
        <v>389</v>
      </c>
      <c r="H158" s="37" t="s">
        <v>35</v>
      </c>
      <c r="I158" s="37" t="s">
        <v>35</v>
      </c>
      <c r="J158" s="37" t="s">
        <v>35</v>
      </c>
      <c r="K158" s="37" t="s">
        <v>34</v>
      </c>
      <c r="L158" s="37" t="s">
        <v>34</v>
      </c>
      <c r="O158" s="57"/>
      <c r="P158" s="57"/>
      <c r="Q158" s="57"/>
      <c r="R158" s="121"/>
      <c r="S158" s="121"/>
      <c r="T158" s="122"/>
      <c r="U158" s="121"/>
      <c r="V158" s="121"/>
      <c r="W158" s="121"/>
      <c r="X158" s="121"/>
      <c r="Y158" s="121"/>
      <c r="Z158" s="121"/>
      <c r="AA158" s="121"/>
    </row>
    <row r="159" spans="2:27">
      <c r="B159" s="37" t="s">
        <v>390</v>
      </c>
      <c r="C159" s="40" t="s">
        <v>30</v>
      </c>
      <c r="D159" s="37" t="s">
        <v>71</v>
      </c>
      <c r="E159" s="39">
        <v>620000</v>
      </c>
      <c r="F159" s="37">
        <v>2015</v>
      </c>
      <c r="G159" s="38" t="s">
        <v>391</v>
      </c>
      <c r="H159" s="37" t="s">
        <v>34</v>
      </c>
      <c r="I159" s="37" t="s">
        <v>34</v>
      </c>
      <c r="J159" s="37" t="s">
        <v>35</v>
      </c>
      <c r="K159" s="37" t="s">
        <v>34</v>
      </c>
      <c r="L159" s="37" t="s">
        <v>34</v>
      </c>
      <c r="O159" s="57"/>
      <c r="P159" s="57"/>
      <c r="Q159" s="57"/>
      <c r="R159" s="121"/>
      <c r="S159" s="121"/>
      <c r="T159" s="122"/>
      <c r="U159" s="121"/>
      <c r="V159" s="121"/>
      <c r="W159" s="121"/>
      <c r="X159" s="121"/>
      <c r="Y159" s="121"/>
      <c r="Z159" s="121"/>
      <c r="AA159" s="121"/>
    </row>
    <row r="160" spans="2:27">
      <c r="B160" s="37" t="s">
        <v>392</v>
      </c>
      <c r="C160" s="40" t="s">
        <v>30</v>
      </c>
      <c r="D160" s="37" t="s">
        <v>14</v>
      </c>
      <c r="E160" s="39">
        <v>895000</v>
      </c>
      <c r="F160" s="37">
        <v>1984</v>
      </c>
      <c r="G160" s="38" t="s">
        <v>393</v>
      </c>
      <c r="H160" s="37" t="s">
        <v>34</v>
      </c>
      <c r="I160" s="37" t="s">
        <v>34</v>
      </c>
      <c r="J160" s="37" t="s">
        <v>34</v>
      </c>
      <c r="K160" s="37" t="s">
        <v>34</v>
      </c>
      <c r="L160" s="37" t="s">
        <v>34</v>
      </c>
      <c r="O160" s="57"/>
      <c r="P160" s="57"/>
      <c r="Q160" s="57"/>
      <c r="R160" s="121"/>
      <c r="S160" s="121"/>
      <c r="T160" s="122"/>
      <c r="U160" s="121"/>
      <c r="V160" s="121"/>
      <c r="W160" s="121"/>
      <c r="X160" s="121"/>
      <c r="Y160" s="121"/>
      <c r="Z160" s="121"/>
      <c r="AA160" s="121"/>
    </row>
    <row r="161" spans="2:27">
      <c r="B161" s="37" t="s">
        <v>394</v>
      </c>
      <c r="C161" s="40" t="s">
        <v>30</v>
      </c>
      <c r="D161" s="37" t="s">
        <v>14</v>
      </c>
      <c r="E161" s="39">
        <v>658000</v>
      </c>
      <c r="F161" s="37">
        <v>1997</v>
      </c>
      <c r="G161" s="38" t="s">
        <v>292</v>
      </c>
      <c r="H161" s="37" t="s">
        <v>34</v>
      </c>
      <c r="I161" s="37" t="s">
        <v>34</v>
      </c>
      <c r="J161" s="37" t="s">
        <v>34</v>
      </c>
      <c r="K161" s="37" t="s">
        <v>34</v>
      </c>
      <c r="L161" s="37" t="s">
        <v>34</v>
      </c>
      <c r="O161" s="57"/>
      <c r="P161" s="57"/>
      <c r="Q161" s="57"/>
      <c r="R161" s="121"/>
      <c r="S161" s="121"/>
      <c r="T161" s="122"/>
      <c r="U161" s="121"/>
      <c r="V161" s="121"/>
      <c r="W161" s="121"/>
      <c r="X161" s="121"/>
      <c r="Y161" s="121"/>
      <c r="Z161" s="121"/>
      <c r="AA161" s="121"/>
    </row>
    <row r="162" spans="2:27">
      <c r="B162" s="37" t="s">
        <v>395</v>
      </c>
      <c r="C162" s="40" t="s">
        <v>30</v>
      </c>
      <c r="D162" s="37" t="s">
        <v>14</v>
      </c>
      <c r="E162" s="39">
        <v>812888</v>
      </c>
      <c r="F162" s="37">
        <v>1989</v>
      </c>
      <c r="G162" s="38" t="s">
        <v>396</v>
      </c>
      <c r="H162" s="37" t="s">
        <v>34</v>
      </c>
      <c r="I162" s="37" t="s">
        <v>34</v>
      </c>
      <c r="J162" s="37" t="s">
        <v>34</v>
      </c>
      <c r="K162" s="37" t="s">
        <v>34</v>
      </c>
      <c r="L162" s="37" t="s">
        <v>34</v>
      </c>
      <c r="O162" s="57"/>
      <c r="P162" s="57"/>
      <c r="Q162" s="57"/>
      <c r="R162" s="121"/>
      <c r="S162" s="121"/>
      <c r="T162" s="122"/>
      <c r="U162" s="121"/>
      <c r="V162" s="121"/>
      <c r="W162" s="121"/>
      <c r="X162" s="121"/>
      <c r="Y162" s="121"/>
      <c r="Z162" s="121"/>
      <c r="AA162" s="121"/>
    </row>
    <row r="163" spans="2:27">
      <c r="B163" s="37" t="s">
        <v>397</v>
      </c>
      <c r="C163" s="40" t="s">
        <v>30</v>
      </c>
      <c r="D163" s="37" t="s">
        <v>14</v>
      </c>
      <c r="E163" s="39">
        <v>800000</v>
      </c>
      <c r="F163" s="37">
        <v>1987</v>
      </c>
      <c r="G163" s="38" t="s">
        <v>398</v>
      </c>
      <c r="H163" s="37" t="s">
        <v>34</v>
      </c>
      <c r="I163" s="37" t="s">
        <v>35</v>
      </c>
      <c r="J163" s="37" t="s">
        <v>34</v>
      </c>
      <c r="K163" s="37" t="s">
        <v>34</v>
      </c>
      <c r="L163" s="37" t="s">
        <v>34</v>
      </c>
      <c r="O163" s="57"/>
      <c r="P163" s="57"/>
      <c r="Q163" s="57"/>
      <c r="R163" s="121"/>
      <c r="S163" s="121"/>
      <c r="T163" s="122"/>
      <c r="U163" s="121"/>
      <c r="V163" s="121"/>
      <c r="W163" s="121"/>
      <c r="X163" s="121"/>
      <c r="Y163" s="121"/>
      <c r="Z163" s="121"/>
      <c r="AA163" s="121"/>
    </row>
    <row r="164" spans="2:27">
      <c r="B164" s="37" t="s">
        <v>399</v>
      </c>
      <c r="C164" s="40" t="s">
        <v>30</v>
      </c>
      <c r="D164" s="37" t="s">
        <v>14</v>
      </c>
      <c r="E164" s="39">
        <v>708000</v>
      </c>
      <c r="F164" s="37">
        <v>1999</v>
      </c>
      <c r="G164" s="38" t="s">
        <v>400</v>
      </c>
      <c r="H164" s="37" t="s">
        <v>34</v>
      </c>
      <c r="I164" s="37" t="s">
        <v>34</v>
      </c>
      <c r="J164" s="37" t="s">
        <v>34</v>
      </c>
      <c r="K164" s="37" t="s">
        <v>34</v>
      </c>
      <c r="L164" s="37" t="s">
        <v>34</v>
      </c>
      <c r="O164" s="57"/>
      <c r="P164" s="57"/>
      <c r="Q164" s="57"/>
      <c r="R164" s="121"/>
      <c r="S164" s="121"/>
      <c r="T164" s="122"/>
      <c r="U164" s="121"/>
      <c r="V164" s="121"/>
      <c r="W164" s="121"/>
      <c r="X164" s="121"/>
      <c r="Y164" s="121"/>
      <c r="Z164" s="121"/>
      <c r="AA164" s="121"/>
    </row>
    <row r="165" spans="2:27">
      <c r="B165" s="37" t="s">
        <v>401</v>
      </c>
      <c r="C165" s="40" t="s">
        <v>30</v>
      </c>
      <c r="D165" s="37" t="s">
        <v>14</v>
      </c>
      <c r="E165" s="39">
        <v>830888</v>
      </c>
      <c r="F165" s="37">
        <v>2016</v>
      </c>
      <c r="G165" s="38" t="s">
        <v>402</v>
      </c>
      <c r="H165" s="37" t="s">
        <v>34</v>
      </c>
      <c r="I165" s="37" t="s">
        <v>34</v>
      </c>
      <c r="J165" s="37" t="s">
        <v>35</v>
      </c>
      <c r="K165" s="37" t="s">
        <v>34</v>
      </c>
      <c r="L165" s="37" t="s">
        <v>34</v>
      </c>
      <c r="O165" s="57"/>
      <c r="P165" s="57"/>
      <c r="Q165" s="57"/>
      <c r="R165" s="121"/>
      <c r="S165" s="121"/>
      <c r="T165" s="122"/>
      <c r="U165" s="121"/>
      <c r="V165" s="121"/>
      <c r="W165" s="121"/>
      <c r="X165" s="121"/>
      <c r="Y165" s="121"/>
      <c r="Z165" s="121"/>
      <c r="AA165" s="121"/>
    </row>
    <row r="166" spans="2:27">
      <c r="B166" s="37" t="s">
        <v>403</v>
      </c>
      <c r="C166" s="40" t="s">
        <v>30</v>
      </c>
      <c r="D166" s="37" t="s">
        <v>177</v>
      </c>
      <c r="E166" s="39">
        <v>800000</v>
      </c>
      <c r="F166" s="37">
        <v>1986</v>
      </c>
      <c r="G166" s="38" t="s">
        <v>370</v>
      </c>
      <c r="H166" s="37" t="s">
        <v>34</v>
      </c>
      <c r="I166" s="37" t="s">
        <v>35</v>
      </c>
      <c r="J166" s="37" t="s">
        <v>35</v>
      </c>
      <c r="K166" s="37" t="s">
        <v>34</v>
      </c>
      <c r="L166" s="37" t="s">
        <v>34</v>
      </c>
      <c r="O166" s="57"/>
      <c r="P166" s="57"/>
      <c r="Q166" s="57"/>
      <c r="R166" s="121"/>
      <c r="S166" s="121"/>
      <c r="T166" s="122"/>
      <c r="U166" s="121"/>
      <c r="V166" s="121"/>
      <c r="W166" s="121"/>
      <c r="X166" s="121"/>
      <c r="Y166" s="121"/>
      <c r="Z166" s="121"/>
      <c r="AA166" s="121"/>
    </row>
    <row r="167" spans="2:27">
      <c r="B167" s="37" t="s">
        <v>404</v>
      </c>
      <c r="C167" s="40" t="s">
        <v>30</v>
      </c>
      <c r="D167" s="37" t="s">
        <v>177</v>
      </c>
      <c r="E167" s="39">
        <v>1038000</v>
      </c>
      <c r="F167" s="37">
        <v>1999</v>
      </c>
      <c r="G167" s="38" t="s">
        <v>405</v>
      </c>
      <c r="H167" s="37" t="s">
        <v>35</v>
      </c>
      <c r="I167" s="37" t="s">
        <v>34</v>
      </c>
      <c r="J167" s="37" t="s">
        <v>34</v>
      </c>
      <c r="K167" s="37" t="s">
        <v>34</v>
      </c>
      <c r="L167" s="37" t="s">
        <v>34</v>
      </c>
      <c r="O167" s="57"/>
      <c r="P167" s="57"/>
      <c r="Q167" s="57"/>
      <c r="R167" s="121"/>
      <c r="S167" s="121"/>
      <c r="T167" s="122"/>
      <c r="U167" s="121"/>
      <c r="V167" s="121"/>
      <c r="W167" s="121"/>
      <c r="X167" s="121"/>
      <c r="Y167" s="121"/>
      <c r="Z167" s="121"/>
      <c r="AA167" s="121"/>
    </row>
    <row r="168" spans="2:27">
      <c r="B168" s="37" t="s">
        <v>406</v>
      </c>
      <c r="C168" s="40" t="s">
        <v>407</v>
      </c>
      <c r="D168" s="37" t="s">
        <v>82</v>
      </c>
      <c r="E168" s="39">
        <v>380000</v>
      </c>
      <c r="F168" s="37">
        <v>1983</v>
      </c>
      <c r="G168" s="38" t="s">
        <v>377</v>
      </c>
      <c r="H168" s="37" t="s">
        <v>34</v>
      </c>
      <c r="I168" s="37" t="s">
        <v>34</v>
      </c>
      <c r="J168" s="37" t="s">
        <v>34</v>
      </c>
      <c r="K168" s="37" t="s">
        <v>34</v>
      </c>
      <c r="L168" s="37" t="s">
        <v>34</v>
      </c>
      <c r="O168" s="57"/>
      <c r="P168" s="57"/>
      <c r="Q168" s="57"/>
      <c r="R168" s="121"/>
      <c r="S168" s="121"/>
      <c r="T168" s="122"/>
      <c r="U168" s="121"/>
      <c r="V168" s="121"/>
      <c r="W168" s="121"/>
      <c r="X168" s="121"/>
      <c r="Y168" s="121"/>
      <c r="Z168" s="121"/>
      <c r="AA168" s="121"/>
    </row>
    <row r="169" spans="2:27">
      <c r="B169" s="37" t="s">
        <v>408</v>
      </c>
      <c r="C169" s="40" t="s">
        <v>407</v>
      </c>
      <c r="D169" s="37" t="s">
        <v>82</v>
      </c>
      <c r="E169" s="39">
        <v>322000</v>
      </c>
      <c r="F169" s="37">
        <v>1982</v>
      </c>
      <c r="G169" s="38" t="s">
        <v>409</v>
      </c>
      <c r="H169" s="37" t="s">
        <v>34</v>
      </c>
      <c r="I169" s="37" t="s">
        <v>34</v>
      </c>
      <c r="J169" s="37" t="s">
        <v>34</v>
      </c>
      <c r="K169" s="37" t="s">
        <v>34</v>
      </c>
      <c r="L169" s="37" t="s">
        <v>35</v>
      </c>
      <c r="O169" s="57"/>
      <c r="P169" s="57"/>
      <c r="Q169" s="57"/>
      <c r="R169" s="121"/>
      <c r="S169" s="121"/>
      <c r="T169" s="122"/>
      <c r="U169" s="121"/>
      <c r="V169" s="121"/>
      <c r="W169" s="121"/>
      <c r="X169" s="121"/>
      <c r="Y169" s="121"/>
      <c r="Z169" s="121"/>
      <c r="AA169" s="121"/>
    </row>
    <row r="170" spans="2:27">
      <c r="B170" s="37" t="s">
        <v>410</v>
      </c>
      <c r="C170" s="40" t="s">
        <v>407</v>
      </c>
      <c r="D170" s="37" t="s">
        <v>82</v>
      </c>
      <c r="E170" s="39">
        <v>455000</v>
      </c>
      <c r="F170" s="37">
        <v>2016</v>
      </c>
      <c r="G170" s="38" t="s">
        <v>411</v>
      </c>
      <c r="H170" s="37" t="s">
        <v>35</v>
      </c>
      <c r="I170" s="37" t="s">
        <v>34</v>
      </c>
      <c r="J170" s="37" t="s">
        <v>34</v>
      </c>
      <c r="K170" s="37" t="s">
        <v>34</v>
      </c>
      <c r="L170" s="37" t="s">
        <v>35</v>
      </c>
      <c r="O170" s="57"/>
      <c r="P170" s="57"/>
      <c r="Q170" s="57"/>
      <c r="R170" s="121"/>
      <c r="S170" s="121"/>
      <c r="T170" s="122"/>
      <c r="U170" s="121"/>
      <c r="V170" s="121"/>
      <c r="W170" s="121"/>
      <c r="X170" s="121"/>
      <c r="Y170" s="121"/>
      <c r="Z170" s="121"/>
      <c r="AA170" s="121"/>
    </row>
    <row r="171" spans="2:27">
      <c r="B171" s="37" t="s">
        <v>412</v>
      </c>
      <c r="C171" s="40" t="s">
        <v>407</v>
      </c>
      <c r="D171" s="37" t="s">
        <v>82</v>
      </c>
      <c r="E171" s="39">
        <v>350000</v>
      </c>
      <c r="F171" s="37">
        <v>1977</v>
      </c>
      <c r="G171" s="38" t="s">
        <v>413</v>
      </c>
      <c r="H171" s="37" t="s">
        <v>35</v>
      </c>
      <c r="I171" s="37" t="s">
        <v>35</v>
      </c>
      <c r="J171" s="37" t="s">
        <v>34</v>
      </c>
      <c r="K171" s="37" t="s">
        <v>34</v>
      </c>
      <c r="L171" s="37" t="s">
        <v>34</v>
      </c>
      <c r="O171" s="57"/>
      <c r="P171" s="57"/>
      <c r="Q171" s="57"/>
      <c r="R171" s="121"/>
      <c r="S171" s="121"/>
      <c r="T171" s="122"/>
      <c r="U171" s="121"/>
      <c r="V171" s="121"/>
      <c r="W171" s="121"/>
      <c r="X171" s="121"/>
      <c r="Y171" s="121"/>
      <c r="Z171" s="121"/>
      <c r="AA171" s="121"/>
    </row>
    <row r="172" spans="2:27">
      <c r="B172" s="37" t="s">
        <v>412</v>
      </c>
      <c r="C172" s="40" t="s">
        <v>407</v>
      </c>
      <c r="D172" s="37" t="s">
        <v>82</v>
      </c>
      <c r="E172" s="39">
        <v>345000</v>
      </c>
      <c r="F172" s="37">
        <v>1977</v>
      </c>
      <c r="G172" s="38" t="s">
        <v>414</v>
      </c>
      <c r="H172" s="37" t="s">
        <v>34</v>
      </c>
      <c r="I172" s="37" t="s">
        <v>34</v>
      </c>
      <c r="J172" s="37" t="s">
        <v>35</v>
      </c>
      <c r="K172" s="37" t="s">
        <v>34</v>
      </c>
      <c r="L172" s="37" t="s">
        <v>34</v>
      </c>
      <c r="O172" s="57"/>
      <c r="P172" s="57"/>
      <c r="Q172" s="57"/>
      <c r="R172" s="121"/>
      <c r="S172" s="121"/>
      <c r="T172" s="122"/>
      <c r="U172" s="121"/>
      <c r="V172" s="121"/>
      <c r="W172" s="121"/>
      <c r="X172" s="121"/>
      <c r="Y172" s="121"/>
      <c r="Z172" s="121"/>
      <c r="AA172" s="121"/>
    </row>
    <row r="173" spans="2:27">
      <c r="B173" s="37" t="s">
        <v>415</v>
      </c>
      <c r="C173" s="40" t="s">
        <v>407</v>
      </c>
      <c r="D173" s="37" t="s">
        <v>71</v>
      </c>
      <c r="E173" s="39">
        <v>450000</v>
      </c>
      <c r="F173" s="37">
        <v>1983</v>
      </c>
      <c r="G173" s="38" t="s">
        <v>416</v>
      </c>
      <c r="H173" s="37" t="s">
        <v>34</v>
      </c>
      <c r="I173" s="37" t="s">
        <v>34</v>
      </c>
      <c r="J173" s="37" t="s">
        <v>34</v>
      </c>
      <c r="K173" s="37" t="s">
        <v>34</v>
      </c>
      <c r="L173" s="37" t="s">
        <v>34</v>
      </c>
      <c r="O173" s="57"/>
      <c r="P173" s="57"/>
      <c r="Q173" s="57"/>
      <c r="R173" s="121"/>
      <c r="S173" s="121"/>
      <c r="T173" s="122"/>
      <c r="U173" s="121"/>
      <c r="V173" s="121"/>
      <c r="W173" s="121"/>
      <c r="X173" s="121"/>
      <c r="Y173" s="121"/>
      <c r="Z173" s="121"/>
      <c r="AA173" s="121"/>
    </row>
    <row r="174" spans="2:27">
      <c r="B174" s="37" t="s">
        <v>417</v>
      </c>
      <c r="C174" s="40" t="s">
        <v>407</v>
      </c>
      <c r="D174" s="37" t="s">
        <v>71</v>
      </c>
      <c r="E174" s="39">
        <v>460000</v>
      </c>
      <c r="F174" s="37">
        <v>1978</v>
      </c>
      <c r="G174" s="38" t="s">
        <v>362</v>
      </c>
      <c r="H174" s="37" t="s">
        <v>34</v>
      </c>
      <c r="I174" s="37" t="s">
        <v>34</v>
      </c>
      <c r="J174" s="37" t="s">
        <v>34</v>
      </c>
      <c r="K174" s="37" t="s">
        <v>34</v>
      </c>
      <c r="L174" s="37" t="s">
        <v>34</v>
      </c>
      <c r="O174" s="57"/>
      <c r="P174" s="57"/>
      <c r="Q174" s="57"/>
      <c r="R174" s="121"/>
      <c r="S174" s="121"/>
      <c r="T174" s="122"/>
      <c r="U174" s="121"/>
      <c r="V174" s="121"/>
      <c r="W174" s="121"/>
      <c r="X174" s="121"/>
      <c r="Y174" s="121"/>
      <c r="Z174" s="121"/>
      <c r="AA174" s="121"/>
    </row>
    <row r="175" spans="2:27">
      <c r="B175" s="37" t="s">
        <v>418</v>
      </c>
      <c r="C175" s="40" t="s">
        <v>407</v>
      </c>
      <c r="D175" s="37" t="s">
        <v>71</v>
      </c>
      <c r="E175" s="39">
        <v>392000</v>
      </c>
      <c r="F175" s="37">
        <v>1981</v>
      </c>
      <c r="G175" s="38" t="s">
        <v>419</v>
      </c>
      <c r="H175" s="37" t="s">
        <v>34</v>
      </c>
      <c r="I175" s="37" t="s">
        <v>34</v>
      </c>
      <c r="J175" s="37" t="s">
        <v>34</v>
      </c>
      <c r="K175" s="37" t="s">
        <v>34</v>
      </c>
      <c r="L175" s="37" t="s">
        <v>34</v>
      </c>
      <c r="O175" s="57"/>
      <c r="P175" s="57"/>
      <c r="Q175" s="57"/>
      <c r="R175" s="121"/>
      <c r="S175" s="121"/>
      <c r="T175" s="122"/>
      <c r="U175" s="121"/>
      <c r="V175" s="121"/>
      <c r="W175" s="121"/>
      <c r="X175" s="121"/>
      <c r="Y175" s="121"/>
      <c r="Z175" s="121"/>
      <c r="AA175" s="121"/>
    </row>
    <row r="176" spans="2:27">
      <c r="B176" s="37" t="s">
        <v>420</v>
      </c>
      <c r="C176" s="40" t="s">
        <v>407</v>
      </c>
      <c r="D176" s="37" t="s">
        <v>71</v>
      </c>
      <c r="E176" s="39">
        <v>468000</v>
      </c>
      <c r="F176" s="37">
        <v>1985</v>
      </c>
      <c r="G176" s="38" t="s">
        <v>375</v>
      </c>
      <c r="H176" s="37" t="s">
        <v>34</v>
      </c>
      <c r="I176" s="37" t="s">
        <v>34</v>
      </c>
      <c r="J176" s="37" t="s">
        <v>35</v>
      </c>
      <c r="K176" s="37" t="s">
        <v>34</v>
      </c>
      <c r="L176" s="37" t="s">
        <v>35</v>
      </c>
      <c r="O176" s="57"/>
      <c r="P176" s="57"/>
      <c r="Q176" s="57"/>
      <c r="R176" s="121"/>
      <c r="S176" s="121"/>
      <c r="T176" s="122"/>
      <c r="U176" s="121"/>
      <c r="V176" s="121"/>
      <c r="W176" s="121"/>
      <c r="X176" s="121"/>
      <c r="Y176" s="121"/>
      <c r="Z176" s="121"/>
      <c r="AA176" s="121"/>
    </row>
    <row r="177" spans="2:27">
      <c r="B177" s="37" t="s">
        <v>421</v>
      </c>
      <c r="C177" s="40" t="s">
        <v>407</v>
      </c>
      <c r="D177" s="37" t="s">
        <v>71</v>
      </c>
      <c r="E177" s="39">
        <v>599000</v>
      </c>
      <c r="F177" s="37">
        <v>1998</v>
      </c>
      <c r="G177" s="38" t="s">
        <v>301</v>
      </c>
      <c r="H177" s="37" t="s">
        <v>34</v>
      </c>
      <c r="I177" s="37" t="s">
        <v>35</v>
      </c>
      <c r="J177" s="37" t="s">
        <v>35</v>
      </c>
      <c r="K177" s="37" t="s">
        <v>34</v>
      </c>
      <c r="L177" s="37" t="s">
        <v>34</v>
      </c>
      <c r="O177" s="57"/>
      <c r="P177" s="57"/>
      <c r="Q177" s="57"/>
      <c r="R177" s="121"/>
      <c r="S177" s="121"/>
      <c r="T177" s="122"/>
      <c r="U177" s="121"/>
      <c r="V177" s="121"/>
      <c r="W177" s="121"/>
      <c r="X177" s="121"/>
      <c r="Y177" s="121"/>
      <c r="Z177" s="121"/>
      <c r="AA177" s="121"/>
    </row>
    <row r="178" spans="2:27">
      <c r="B178" s="37" t="s">
        <v>422</v>
      </c>
      <c r="C178" s="40" t="s">
        <v>407</v>
      </c>
      <c r="D178" s="37" t="s">
        <v>14</v>
      </c>
      <c r="E178" s="39">
        <v>705000</v>
      </c>
      <c r="F178" s="37">
        <v>1984</v>
      </c>
      <c r="G178" s="38" t="s">
        <v>423</v>
      </c>
      <c r="H178" s="37" t="s">
        <v>34</v>
      </c>
      <c r="I178" s="37" t="s">
        <v>35</v>
      </c>
      <c r="J178" s="37" t="s">
        <v>34</v>
      </c>
      <c r="K178" s="37" t="s">
        <v>34</v>
      </c>
      <c r="L178" s="37" t="s">
        <v>34</v>
      </c>
      <c r="O178" s="57"/>
      <c r="P178" s="57"/>
      <c r="Q178" s="57"/>
      <c r="R178" s="121"/>
      <c r="S178" s="121"/>
      <c r="T178" s="122"/>
      <c r="U178" s="121"/>
      <c r="V178" s="121"/>
      <c r="W178" s="121"/>
      <c r="X178" s="121"/>
      <c r="Y178" s="121"/>
      <c r="Z178" s="121"/>
      <c r="AA178" s="121"/>
    </row>
    <row r="179" spans="2:27">
      <c r="B179" s="37" t="s">
        <v>424</v>
      </c>
      <c r="C179" s="40" t="s">
        <v>425</v>
      </c>
      <c r="D179" s="37" t="s">
        <v>31</v>
      </c>
      <c r="E179" s="39">
        <v>330000</v>
      </c>
      <c r="F179" s="37">
        <v>2019</v>
      </c>
      <c r="G179" s="38" t="s">
        <v>241</v>
      </c>
      <c r="H179" s="37" t="s">
        <v>34</v>
      </c>
      <c r="I179" s="37" t="s">
        <v>35</v>
      </c>
      <c r="J179" s="37" t="s">
        <v>34</v>
      </c>
      <c r="K179" s="37" t="s">
        <v>34</v>
      </c>
      <c r="L179" s="37" t="s">
        <v>34</v>
      </c>
      <c r="O179" s="57"/>
      <c r="P179" s="57"/>
      <c r="Q179" s="57"/>
      <c r="R179" s="121"/>
      <c r="S179" s="121"/>
      <c r="T179" s="122"/>
      <c r="U179" s="121"/>
      <c r="V179" s="121"/>
      <c r="W179" s="121"/>
      <c r="X179" s="121"/>
      <c r="Y179" s="121"/>
      <c r="Z179" s="121"/>
      <c r="AA179" s="121"/>
    </row>
    <row r="180" spans="2:27">
      <c r="B180" s="37" t="s">
        <v>426</v>
      </c>
      <c r="C180" s="40" t="s">
        <v>425</v>
      </c>
      <c r="D180" s="37" t="s">
        <v>31</v>
      </c>
      <c r="E180" s="39">
        <v>295000</v>
      </c>
      <c r="F180" s="37">
        <v>2019</v>
      </c>
      <c r="G180" s="38" t="s">
        <v>241</v>
      </c>
      <c r="H180" s="37" t="s">
        <v>34</v>
      </c>
      <c r="I180" s="37" t="s">
        <v>35</v>
      </c>
      <c r="J180" s="37" t="s">
        <v>34</v>
      </c>
      <c r="K180" s="37" t="s">
        <v>34</v>
      </c>
      <c r="L180" s="37" t="s">
        <v>34</v>
      </c>
      <c r="O180" s="57"/>
      <c r="P180" s="57"/>
      <c r="Q180" s="57"/>
      <c r="R180" s="121"/>
      <c r="S180" s="121"/>
      <c r="T180" s="122"/>
      <c r="U180" s="121"/>
      <c r="V180" s="121"/>
      <c r="W180" s="121"/>
      <c r="X180" s="121"/>
      <c r="Y180" s="121"/>
      <c r="Z180" s="121"/>
      <c r="AA180" s="121"/>
    </row>
    <row r="181" spans="2:27">
      <c r="B181" s="37" t="s">
        <v>427</v>
      </c>
      <c r="C181" s="40" t="s">
        <v>425</v>
      </c>
      <c r="D181" s="37" t="s">
        <v>82</v>
      </c>
      <c r="E181" s="39">
        <v>280000</v>
      </c>
      <c r="F181" s="37">
        <v>1975</v>
      </c>
      <c r="G181" s="38" t="s">
        <v>428</v>
      </c>
      <c r="H181" s="37" t="s">
        <v>34</v>
      </c>
      <c r="I181" s="37" t="s">
        <v>34</v>
      </c>
      <c r="J181" s="37" t="s">
        <v>34</v>
      </c>
      <c r="K181" s="37" t="s">
        <v>34</v>
      </c>
      <c r="L181" s="37" t="s">
        <v>35</v>
      </c>
      <c r="O181" s="57"/>
      <c r="P181" s="57"/>
      <c r="Q181" s="57"/>
      <c r="R181" s="121"/>
      <c r="S181" s="121"/>
      <c r="T181" s="122"/>
      <c r="U181" s="121"/>
      <c r="V181" s="121"/>
      <c r="W181" s="121"/>
      <c r="X181" s="121"/>
      <c r="Y181" s="121"/>
      <c r="Z181" s="121"/>
      <c r="AA181" s="121"/>
    </row>
    <row r="182" spans="2:27">
      <c r="B182" s="37" t="s">
        <v>429</v>
      </c>
      <c r="C182" s="40" t="s">
        <v>425</v>
      </c>
      <c r="D182" s="37" t="s">
        <v>82</v>
      </c>
      <c r="E182" s="39">
        <v>300000</v>
      </c>
      <c r="F182" s="37">
        <v>1974</v>
      </c>
      <c r="G182" s="38" t="s">
        <v>430</v>
      </c>
      <c r="H182" s="37" t="s">
        <v>34</v>
      </c>
      <c r="I182" s="37" t="s">
        <v>35</v>
      </c>
      <c r="J182" s="37" t="s">
        <v>34</v>
      </c>
      <c r="K182" s="37" t="s">
        <v>34</v>
      </c>
      <c r="L182" s="37" t="s">
        <v>35</v>
      </c>
      <c r="O182" s="57"/>
      <c r="P182" s="57"/>
      <c r="Q182" s="57"/>
      <c r="R182" s="121"/>
      <c r="S182" s="121"/>
      <c r="T182" s="122"/>
      <c r="U182" s="121"/>
      <c r="V182" s="121"/>
      <c r="W182" s="121"/>
      <c r="X182" s="121"/>
      <c r="Y182" s="121"/>
      <c r="Z182" s="121"/>
      <c r="AA182" s="121"/>
    </row>
    <row r="183" spans="2:27">
      <c r="B183" s="37" t="s">
        <v>431</v>
      </c>
      <c r="C183" s="40" t="s">
        <v>425</v>
      </c>
      <c r="D183" s="37" t="s">
        <v>82</v>
      </c>
      <c r="E183" s="39">
        <v>325000</v>
      </c>
      <c r="F183" s="37">
        <v>1976</v>
      </c>
      <c r="G183" s="38" t="s">
        <v>432</v>
      </c>
      <c r="H183" s="37" t="s">
        <v>34</v>
      </c>
      <c r="I183" s="37" t="s">
        <v>34</v>
      </c>
      <c r="J183" s="37" t="s">
        <v>35</v>
      </c>
      <c r="K183" s="37" t="s">
        <v>34</v>
      </c>
      <c r="L183" s="37" t="s">
        <v>34</v>
      </c>
      <c r="O183" s="57"/>
      <c r="P183" s="57"/>
      <c r="Q183" s="57"/>
      <c r="R183" s="121"/>
      <c r="S183" s="121"/>
      <c r="T183" s="122"/>
      <c r="U183" s="121"/>
      <c r="V183" s="121"/>
      <c r="W183" s="121"/>
      <c r="X183" s="121"/>
      <c r="Y183" s="121"/>
      <c r="Z183" s="121"/>
      <c r="AA183" s="121"/>
    </row>
    <row r="184" spans="2:27">
      <c r="B184" s="37" t="s">
        <v>433</v>
      </c>
      <c r="C184" s="40" t="s">
        <v>425</v>
      </c>
      <c r="D184" s="37" t="s">
        <v>82</v>
      </c>
      <c r="E184" s="39">
        <v>438000</v>
      </c>
      <c r="F184" s="37">
        <v>2019</v>
      </c>
      <c r="G184" s="38" t="s">
        <v>241</v>
      </c>
      <c r="H184" s="37" t="s">
        <v>34</v>
      </c>
      <c r="I184" s="37" t="s">
        <v>35</v>
      </c>
      <c r="J184" s="37" t="s">
        <v>34</v>
      </c>
      <c r="K184" s="37" t="s">
        <v>34</v>
      </c>
      <c r="L184" s="37" t="s">
        <v>34</v>
      </c>
      <c r="O184" s="57"/>
      <c r="P184" s="57"/>
      <c r="Q184" s="57"/>
      <c r="R184" s="121"/>
      <c r="S184" s="121"/>
      <c r="T184" s="122"/>
      <c r="U184" s="121"/>
      <c r="V184" s="121"/>
      <c r="W184" s="121"/>
      <c r="X184" s="121"/>
      <c r="Y184" s="121"/>
      <c r="Z184" s="121"/>
      <c r="AA184" s="121"/>
    </row>
    <row r="185" spans="2:27">
      <c r="B185" s="37" t="s">
        <v>434</v>
      </c>
      <c r="C185" s="40" t="s">
        <v>425</v>
      </c>
      <c r="D185" s="37" t="s">
        <v>82</v>
      </c>
      <c r="E185" s="39">
        <v>458000</v>
      </c>
      <c r="F185" s="37">
        <v>2019</v>
      </c>
      <c r="G185" s="38" t="s">
        <v>435</v>
      </c>
      <c r="H185" s="37" t="s">
        <v>34</v>
      </c>
      <c r="I185" s="37" t="s">
        <v>34</v>
      </c>
      <c r="J185" s="37" t="s">
        <v>34</v>
      </c>
      <c r="K185" s="37" t="s">
        <v>34</v>
      </c>
      <c r="L185" s="37" t="s">
        <v>34</v>
      </c>
      <c r="O185" s="57"/>
      <c r="P185" s="57"/>
      <c r="Q185" s="57"/>
      <c r="R185" s="121"/>
      <c r="S185" s="121"/>
      <c r="T185" s="122"/>
      <c r="U185" s="121"/>
      <c r="V185" s="121"/>
      <c r="W185" s="121"/>
      <c r="X185" s="121"/>
      <c r="Y185" s="121"/>
      <c r="Z185" s="121"/>
      <c r="AA185" s="121"/>
    </row>
    <row r="186" spans="2:27">
      <c r="B186" s="37" t="s">
        <v>436</v>
      </c>
      <c r="C186" s="40" t="s">
        <v>425</v>
      </c>
      <c r="D186" s="37" t="s">
        <v>82</v>
      </c>
      <c r="E186" s="39">
        <v>460000</v>
      </c>
      <c r="F186" s="37">
        <v>2018</v>
      </c>
      <c r="G186" s="38" t="s">
        <v>140</v>
      </c>
      <c r="H186" s="37" t="s">
        <v>34</v>
      </c>
      <c r="I186" s="37" t="s">
        <v>34</v>
      </c>
      <c r="J186" s="37" t="s">
        <v>34</v>
      </c>
      <c r="K186" s="37" t="s">
        <v>34</v>
      </c>
      <c r="L186" s="37" t="s">
        <v>34</v>
      </c>
      <c r="O186" s="57"/>
      <c r="P186" s="57"/>
      <c r="Q186" s="57"/>
      <c r="R186" s="121"/>
      <c r="S186" s="121"/>
      <c r="T186" s="122"/>
      <c r="U186" s="121"/>
      <c r="V186" s="121"/>
      <c r="W186" s="121"/>
      <c r="X186" s="121"/>
      <c r="Y186" s="121"/>
      <c r="Z186" s="121"/>
      <c r="AA186" s="121"/>
    </row>
    <row r="187" spans="2:27">
      <c r="B187" s="37" t="s">
        <v>437</v>
      </c>
      <c r="C187" s="40" t="s">
        <v>425</v>
      </c>
      <c r="D187" s="37" t="s">
        <v>82</v>
      </c>
      <c r="E187" s="39">
        <v>412000</v>
      </c>
      <c r="F187" s="37">
        <v>1984</v>
      </c>
      <c r="G187" s="38" t="s">
        <v>423</v>
      </c>
      <c r="H187" s="37" t="s">
        <v>34</v>
      </c>
      <c r="I187" s="37" t="s">
        <v>34</v>
      </c>
      <c r="J187" s="37" t="s">
        <v>34</v>
      </c>
      <c r="K187" s="37" t="s">
        <v>34</v>
      </c>
      <c r="L187" s="37" t="s">
        <v>34</v>
      </c>
      <c r="O187" s="57"/>
      <c r="P187" s="57"/>
      <c r="Q187" s="57"/>
      <c r="R187" s="121"/>
      <c r="S187" s="121"/>
      <c r="T187" s="122"/>
      <c r="U187" s="121"/>
      <c r="V187" s="121"/>
      <c r="W187" s="121"/>
      <c r="X187" s="121"/>
      <c r="Y187" s="121"/>
      <c r="Z187" s="121"/>
      <c r="AA187" s="121"/>
    </row>
    <row r="188" spans="2:27">
      <c r="B188" s="37" t="s">
        <v>438</v>
      </c>
      <c r="C188" s="40" t="s">
        <v>425</v>
      </c>
      <c r="D188" s="37" t="s">
        <v>82</v>
      </c>
      <c r="E188" s="39">
        <v>365888</v>
      </c>
      <c r="F188" s="37">
        <v>1989</v>
      </c>
      <c r="G188" s="38" t="s">
        <v>320</v>
      </c>
      <c r="H188" s="37" t="s">
        <v>35</v>
      </c>
      <c r="I188" s="37" t="s">
        <v>34</v>
      </c>
      <c r="J188" s="37" t="s">
        <v>35</v>
      </c>
      <c r="K188" s="37" t="s">
        <v>34</v>
      </c>
      <c r="L188" s="37" t="s">
        <v>34</v>
      </c>
      <c r="O188" s="57"/>
      <c r="P188" s="57"/>
      <c r="Q188" s="57"/>
      <c r="R188" s="121"/>
      <c r="S188" s="121"/>
      <c r="T188" s="122"/>
      <c r="U188" s="121"/>
      <c r="V188" s="121"/>
      <c r="W188" s="121"/>
      <c r="X188" s="121"/>
      <c r="Y188" s="121"/>
      <c r="Z188" s="121"/>
      <c r="AA188" s="121"/>
    </row>
    <row r="189" spans="2:27">
      <c r="B189" s="37" t="s">
        <v>433</v>
      </c>
      <c r="C189" s="40" t="s">
        <v>425</v>
      </c>
      <c r="D189" s="37" t="s">
        <v>71</v>
      </c>
      <c r="E189" s="39">
        <v>620000</v>
      </c>
      <c r="F189" s="37">
        <v>2019</v>
      </c>
      <c r="G189" s="38" t="s">
        <v>439</v>
      </c>
      <c r="H189" s="37" t="s">
        <v>34</v>
      </c>
      <c r="I189" s="37" t="s">
        <v>34</v>
      </c>
      <c r="J189" s="37" t="s">
        <v>35</v>
      </c>
      <c r="K189" s="37" t="s">
        <v>34</v>
      </c>
      <c r="L189" s="37" t="s">
        <v>34</v>
      </c>
      <c r="O189" s="57"/>
      <c r="P189" s="57"/>
      <c r="Q189" s="57"/>
      <c r="R189" s="121"/>
      <c r="S189" s="121"/>
      <c r="T189" s="122"/>
      <c r="U189" s="121"/>
      <c r="V189" s="121"/>
      <c r="W189" s="121"/>
      <c r="X189" s="121"/>
      <c r="Y189" s="121"/>
      <c r="Z189" s="121"/>
      <c r="AA189" s="121"/>
    </row>
    <row r="190" spans="2:27">
      <c r="B190" s="37" t="s">
        <v>440</v>
      </c>
      <c r="C190" s="40" t="s">
        <v>425</v>
      </c>
      <c r="D190" s="37" t="s">
        <v>71</v>
      </c>
      <c r="E190" s="39">
        <v>570000</v>
      </c>
      <c r="F190" s="37">
        <v>2019</v>
      </c>
      <c r="G190" s="38" t="s">
        <v>241</v>
      </c>
      <c r="H190" s="37" t="s">
        <v>34</v>
      </c>
      <c r="I190" s="37" t="s">
        <v>34</v>
      </c>
      <c r="J190" s="37" t="s">
        <v>35</v>
      </c>
      <c r="K190" s="37" t="s">
        <v>34</v>
      </c>
      <c r="L190" s="37" t="s">
        <v>35</v>
      </c>
      <c r="O190" s="57"/>
      <c r="P190" s="57"/>
      <c r="Q190" s="57"/>
      <c r="R190" s="121"/>
      <c r="S190" s="121"/>
      <c r="T190" s="122"/>
      <c r="U190" s="121"/>
      <c r="V190" s="121"/>
      <c r="W190" s="121"/>
      <c r="X190" s="121"/>
      <c r="Y190" s="121"/>
      <c r="Z190" s="121"/>
      <c r="AA190" s="121"/>
    </row>
    <row r="191" spans="2:27">
      <c r="B191" s="37" t="s">
        <v>440</v>
      </c>
      <c r="C191" s="40" t="s">
        <v>425</v>
      </c>
      <c r="D191" s="37" t="s">
        <v>71</v>
      </c>
      <c r="E191" s="39">
        <v>600000</v>
      </c>
      <c r="F191" s="37">
        <v>2019</v>
      </c>
      <c r="G191" s="38" t="s">
        <v>241</v>
      </c>
      <c r="H191" s="37" t="s">
        <v>35</v>
      </c>
      <c r="I191" s="37" t="s">
        <v>34</v>
      </c>
      <c r="J191" s="37" t="s">
        <v>34</v>
      </c>
      <c r="K191" s="37" t="s">
        <v>34</v>
      </c>
      <c r="L191" s="37" t="s">
        <v>35</v>
      </c>
      <c r="O191" s="57"/>
      <c r="P191" s="57"/>
      <c r="Q191" s="57"/>
      <c r="R191" s="121"/>
      <c r="S191" s="121"/>
      <c r="T191" s="122"/>
      <c r="U191" s="121"/>
      <c r="V191" s="121"/>
      <c r="W191" s="121"/>
      <c r="X191" s="121"/>
      <c r="Y191" s="121"/>
      <c r="Z191" s="121"/>
      <c r="AA191" s="121"/>
    </row>
    <row r="192" spans="2:27">
      <c r="B192" s="37" t="s">
        <v>441</v>
      </c>
      <c r="C192" s="40" t="s">
        <v>425</v>
      </c>
      <c r="D192" s="37" t="s">
        <v>71</v>
      </c>
      <c r="E192" s="39">
        <v>556000</v>
      </c>
      <c r="F192" s="37">
        <v>2000</v>
      </c>
      <c r="G192" s="38" t="s">
        <v>442</v>
      </c>
      <c r="H192" s="37" t="s">
        <v>34</v>
      </c>
      <c r="I192" s="37" t="s">
        <v>35</v>
      </c>
      <c r="J192" s="37" t="s">
        <v>34</v>
      </c>
      <c r="K192" s="37" t="s">
        <v>34</v>
      </c>
      <c r="L192" s="37" t="s">
        <v>35</v>
      </c>
      <c r="O192" s="57"/>
      <c r="P192" s="57"/>
      <c r="Q192" s="57"/>
      <c r="R192" s="121"/>
      <c r="S192" s="121"/>
      <c r="T192" s="122"/>
      <c r="U192" s="121"/>
      <c r="V192" s="121"/>
      <c r="W192" s="121"/>
      <c r="X192" s="121"/>
      <c r="Y192" s="121"/>
      <c r="Z192" s="121"/>
      <c r="AA192" s="121"/>
    </row>
    <row r="193" spans="2:27">
      <c r="B193" s="37" t="s">
        <v>443</v>
      </c>
      <c r="C193" s="40" t="s">
        <v>425</v>
      </c>
      <c r="D193" s="37" t="s">
        <v>71</v>
      </c>
      <c r="E193" s="39">
        <v>460000</v>
      </c>
      <c r="F193" s="37">
        <v>1985</v>
      </c>
      <c r="G193" s="38" t="s">
        <v>444</v>
      </c>
      <c r="H193" s="37" t="s">
        <v>34</v>
      </c>
      <c r="I193" s="37" t="s">
        <v>35</v>
      </c>
      <c r="J193" s="37" t="s">
        <v>34</v>
      </c>
      <c r="K193" s="37" t="s">
        <v>34</v>
      </c>
      <c r="L193" s="37" t="s">
        <v>34</v>
      </c>
      <c r="O193" s="57"/>
      <c r="P193" s="57"/>
      <c r="Q193" s="57"/>
      <c r="R193" s="121"/>
      <c r="S193" s="121"/>
      <c r="T193" s="122"/>
      <c r="U193" s="121"/>
      <c r="V193" s="121"/>
      <c r="W193" s="121"/>
      <c r="X193" s="121"/>
      <c r="Y193" s="121"/>
      <c r="Z193" s="121"/>
      <c r="AA193" s="121"/>
    </row>
    <row r="194" spans="2:27">
      <c r="B194" s="37" t="s">
        <v>437</v>
      </c>
      <c r="C194" s="40" t="s">
        <v>425</v>
      </c>
      <c r="D194" s="37" t="s">
        <v>71</v>
      </c>
      <c r="E194" s="39">
        <v>545000</v>
      </c>
      <c r="F194" s="37">
        <v>1984</v>
      </c>
      <c r="G194" s="38" t="s">
        <v>445</v>
      </c>
      <c r="H194" s="37" t="s">
        <v>34</v>
      </c>
      <c r="I194" s="37" t="s">
        <v>35</v>
      </c>
      <c r="J194" s="37" t="s">
        <v>34</v>
      </c>
      <c r="K194" s="37" t="s">
        <v>34</v>
      </c>
      <c r="L194" s="37" t="s">
        <v>34</v>
      </c>
      <c r="O194" s="57"/>
      <c r="P194" s="57"/>
      <c r="Q194" s="57"/>
      <c r="R194" s="121"/>
      <c r="S194" s="121"/>
      <c r="T194" s="122"/>
      <c r="U194" s="121"/>
      <c r="V194" s="121"/>
      <c r="W194" s="121"/>
      <c r="X194" s="121"/>
      <c r="Y194" s="121"/>
      <c r="Z194" s="121"/>
      <c r="AA194" s="121"/>
    </row>
    <row r="195" spans="2:27">
      <c r="B195" s="37" t="s">
        <v>446</v>
      </c>
      <c r="C195" s="40" t="s">
        <v>425</v>
      </c>
      <c r="D195" s="37" t="s">
        <v>71</v>
      </c>
      <c r="E195" s="39">
        <v>693888</v>
      </c>
      <c r="F195" s="37">
        <v>2000</v>
      </c>
      <c r="G195" s="38" t="s">
        <v>447</v>
      </c>
      <c r="H195" s="37" t="s">
        <v>34</v>
      </c>
      <c r="I195" s="37" t="s">
        <v>34</v>
      </c>
      <c r="J195" s="37" t="s">
        <v>34</v>
      </c>
      <c r="K195" s="37" t="s">
        <v>34</v>
      </c>
      <c r="L195" s="37" t="s">
        <v>34</v>
      </c>
      <c r="O195" s="57"/>
      <c r="P195" s="57"/>
      <c r="Q195" s="57"/>
      <c r="R195" s="121"/>
      <c r="S195" s="121"/>
      <c r="T195" s="122"/>
      <c r="U195" s="121"/>
      <c r="V195" s="121"/>
      <c r="W195" s="121"/>
      <c r="X195" s="121"/>
      <c r="Y195" s="121"/>
      <c r="Z195" s="121"/>
      <c r="AA195" s="121"/>
    </row>
    <row r="196" spans="2:27">
      <c r="B196" s="37" t="s">
        <v>448</v>
      </c>
      <c r="C196" s="40" t="s">
        <v>425</v>
      </c>
      <c r="D196" s="37" t="s">
        <v>71</v>
      </c>
      <c r="E196" s="39">
        <v>478888</v>
      </c>
      <c r="F196" s="37">
        <v>2001</v>
      </c>
      <c r="G196" s="38" t="s">
        <v>449</v>
      </c>
      <c r="H196" s="37" t="s">
        <v>34</v>
      </c>
      <c r="I196" s="37" t="s">
        <v>34</v>
      </c>
      <c r="J196" s="37" t="s">
        <v>35</v>
      </c>
      <c r="K196" s="37" t="s">
        <v>34</v>
      </c>
      <c r="L196" s="37" t="s">
        <v>35</v>
      </c>
      <c r="O196" s="57"/>
      <c r="P196" s="57"/>
      <c r="Q196" s="57"/>
      <c r="R196" s="121"/>
      <c r="S196" s="121"/>
      <c r="T196" s="122"/>
      <c r="U196" s="121"/>
      <c r="V196" s="121"/>
      <c r="W196" s="121"/>
      <c r="X196" s="121"/>
      <c r="Y196" s="121"/>
      <c r="Z196" s="121"/>
      <c r="AA196" s="121"/>
    </row>
    <row r="197" spans="2:27">
      <c r="B197" s="37" t="s">
        <v>450</v>
      </c>
      <c r="C197" s="40" t="s">
        <v>425</v>
      </c>
      <c r="D197" s="37" t="s">
        <v>71</v>
      </c>
      <c r="E197" s="39">
        <v>505000</v>
      </c>
      <c r="F197" s="37">
        <v>2000</v>
      </c>
      <c r="G197" s="38" t="s">
        <v>447</v>
      </c>
      <c r="H197" s="37" t="s">
        <v>34</v>
      </c>
      <c r="I197" s="37" t="s">
        <v>34</v>
      </c>
      <c r="J197" s="37" t="s">
        <v>35</v>
      </c>
      <c r="K197" s="37" t="s">
        <v>34</v>
      </c>
      <c r="L197" s="37" t="s">
        <v>34</v>
      </c>
      <c r="O197" s="57"/>
      <c r="P197" s="57"/>
      <c r="Q197" s="57"/>
      <c r="R197" s="121"/>
      <c r="S197" s="121"/>
      <c r="T197" s="122"/>
      <c r="U197" s="121"/>
      <c r="V197" s="121"/>
      <c r="W197" s="121"/>
      <c r="X197" s="121"/>
      <c r="Y197" s="121"/>
      <c r="Z197" s="121"/>
      <c r="AA197" s="121"/>
    </row>
    <row r="198" spans="2:27">
      <c r="B198" s="37" t="s">
        <v>451</v>
      </c>
      <c r="C198" s="40" t="s">
        <v>425</v>
      </c>
      <c r="D198" s="37" t="s">
        <v>71</v>
      </c>
      <c r="E198" s="39">
        <v>470000</v>
      </c>
      <c r="F198" s="37">
        <v>1990</v>
      </c>
      <c r="G198" s="38" t="s">
        <v>452</v>
      </c>
      <c r="H198" s="37" t="s">
        <v>34</v>
      </c>
      <c r="I198" s="37" t="s">
        <v>35</v>
      </c>
      <c r="J198" s="37" t="s">
        <v>34</v>
      </c>
      <c r="K198" s="37" t="s">
        <v>34</v>
      </c>
      <c r="L198" s="37" t="s">
        <v>34</v>
      </c>
      <c r="O198" s="57"/>
      <c r="P198" s="57"/>
      <c r="Q198" s="57"/>
      <c r="R198" s="121"/>
      <c r="S198" s="121"/>
      <c r="T198" s="122"/>
      <c r="U198" s="121"/>
      <c r="V198" s="121"/>
      <c r="W198" s="121"/>
      <c r="X198" s="121"/>
      <c r="Y198" s="121"/>
      <c r="Z198" s="121"/>
      <c r="AA198" s="121"/>
    </row>
    <row r="199" spans="2:27">
      <c r="B199" s="37" t="s">
        <v>453</v>
      </c>
      <c r="C199" s="40" t="s">
        <v>425</v>
      </c>
      <c r="D199" s="37" t="s">
        <v>71</v>
      </c>
      <c r="E199" s="39">
        <v>425000</v>
      </c>
      <c r="F199" s="37">
        <v>1988</v>
      </c>
      <c r="G199" s="38" t="s">
        <v>454</v>
      </c>
      <c r="H199" s="37" t="s">
        <v>34</v>
      </c>
      <c r="I199" s="37" t="s">
        <v>34</v>
      </c>
      <c r="J199" s="37" t="s">
        <v>34</v>
      </c>
      <c r="K199" s="37" t="s">
        <v>34</v>
      </c>
      <c r="L199" s="37" t="s">
        <v>34</v>
      </c>
      <c r="O199" s="57"/>
      <c r="P199" s="57"/>
      <c r="Q199" s="57"/>
      <c r="R199" s="121"/>
      <c r="S199" s="121"/>
      <c r="T199" s="122"/>
      <c r="U199" s="121"/>
      <c r="V199" s="121"/>
      <c r="W199" s="121"/>
      <c r="X199" s="121"/>
      <c r="Y199" s="121"/>
      <c r="Z199" s="121"/>
      <c r="AA199" s="121"/>
    </row>
    <row r="200" spans="2:27">
      <c r="B200" s="37" t="s">
        <v>455</v>
      </c>
      <c r="C200" s="40" t="s">
        <v>425</v>
      </c>
      <c r="D200" s="37" t="s">
        <v>71</v>
      </c>
      <c r="E200" s="39">
        <v>474000</v>
      </c>
      <c r="F200" s="37">
        <v>1989</v>
      </c>
      <c r="G200" s="38" t="s">
        <v>320</v>
      </c>
      <c r="H200" s="37" t="s">
        <v>34</v>
      </c>
      <c r="I200" s="37" t="s">
        <v>35</v>
      </c>
      <c r="J200" s="37" t="s">
        <v>35</v>
      </c>
      <c r="K200" s="37" t="s">
        <v>34</v>
      </c>
      <c r="L200" s="37" t="s">
        <v>34</v>
      </c>
      <c r="O200" s="57"/>
      <c r="P200" s="57"/>
      <c r="Q200" s="57"/>
      <c r="R200" s="121"/>
      <c r="S200" s="121"/>
      <c r="T200" s="122"/>
      <c r="U200" s="121"/>
      <c r="V200" s="121"/>
      <c r="W200" s="121"/>
      <c r="X200" s="121"/>
      <c r="Y200" s="121"/>
      <c r="Z200" s="121"/>
      <c r="AA200" s="121"/>
    </row>
    <row r="201" spans="2:27">
      <c r="B201" s="37" t="s">
        <v>456</v>
      </c>
      <c r="C201" s="40" t="s">
        <v>425</v>
      </c>
      <c r="D201" s="37" t="s">
        <v>71</v>
      </c>
      <c r="E201" s="39">
        <v>505000</v>
      </c>
      <c r="F201" s="37">
        <v>2008</v>
      </c>
      <c r="G201" s="38" t="s">
        <v>457</v>
      </c>
      <c r="H201" s="37" t="s">
        <v>34</v>
      </c>
      <c r="I201" s="37" t="s">
        <v>35</v>
      </c>
      <c r="J201" s="37" t="s">
        <v>34</v>
      </c>
      <c r="K201" s="37" t="s">
        <v>34</v>
      </c>
      <c r="L201" s="37" t="s">
        <v>34</v>
      </c>
      <c r="O201" s="57"/>
      <c r="P201" s="57"/>
      <c r="Q201" s="57"/>
      <c r="R201" s="121"/>
      <c r="S201" s="121"/>
      <c r="T201" s="122"/>
      <c r="U201" s="121"/>
      <c r="V201" s="121"/>
      <c r="W201" s="121"/>
      <c r="X201" s="121"/>
      <c r="Y201" s="121"/>
      <c r="Z201" s="121"/>
      <c r="AA201" s="121"/>
    </row>
    <row r="202" spans="2:27">
      <c r="B202" s="37" t="s">
        <v>458</v>
      </c>
      <c r="C202" s="40" t="s">
        <v>425</v>
      </c>
      <c r="D202" s="37" t="s">
        <v>14</v>
      </c>
      <c r="E202" s="39">
        <v>590000</v>
      </c>
      <c r="F202" s="37">
        <v>1995</v>
      </c>
      <c r="G202" s="38" t="s">
        <v>459</v>
      </c>
      <c r="H202" s="37" t="s">
        <v>34</v>
      </c>
      <c r="I202" s="37" t="s">
        <v>34</v>
      </c>
      <c r="J202" s="37" t="s">
        <v>34</v>
      </c>
      <c r="K202" s="37" t="s">
        <v>34</v>
      </c>
      <c r="L202" s="37" t="s">
        <v>34</v>
      </c>
      <c r="O202" s="57"/>
      <c r="P202" s="57"/>
      <c r="Q202" s="57"/>
      <c r="R202" s="121"/>
      <c r="S202" s="121"/>
      <c r="T202" s="122"/>
      <c r="U202" s="121"/>
      <c r="V202" s="121"/>
      <c r="W202" s="121"/>
      <c r="X202" s="121"/>
      <c r="Y202" s="121"/>
      <c r="Z202" s="121"/>
      <c r="AA202" s="121"/>
    </row>
    <row r="203" spans="2:27">
      <c r="B203" s="37" t="s">
        <v>460</v>
      </c>
      <c r="C203" s="40" t="s">
        <v>425</v>
      </c>
      <c r="D203" s="37" t="s">
        <v>14</v>
      </c>
      <c r="E203" s="39">
        <v>540000</v>
      </c>
      <c r="F203" s="37">
        <v>1989</v>
      </c>
      <c r="G203" s="38" t="s">
        <v>343</v>
      </c>
      <c r="H203" s="37" t="s">
        <v>35</v>
      </c>
      <c r="I203" s="37" t="s">
        <v>34</v>
      </c>
      <c r="J203" s="37" t="s">
        <v>34</v>
      </c>
      <c r="K203" s="37" t="s">
        <v>34</v>
      </c>
      <c r="L203" s="37" t="s">
        <v>34</v>
      </c>
      <c r="O203" s="57"/>
      <c r="P203" s="57"/>
      <c r="Q203" s="57"/>
      <c r="R203" s="121"/>
      <c r="S203" s="121"/>
      <c r="T203" s="122"/>
      <c r="U203" s="121"/>
      <c r="V203" s="121"/>
      <c r="W203" s="121"/>
      <c r="X203" s="121"/>
      <c r="Y203" s="121"/>
      <c r="Z203" s="121"/>
      <c r="AA203" s="121"/>
    </row>
    <row r="204" spans="2:27">
      <c r="B204" s="37" t="s">
        <v>461</v>
      </c>
      <c r="C204" s="40" t="s">
        <v>425</v>
      </c>
      <c r="D204" s="37" t="s">
        <v>14</v>
      </c>
      <c r="E204" s="39">
        <v>618000</v>
      </c>
      <c r="F204" s="37">
        <v>1984</v>
      </c>
      <c r="G204" s="38" t="s">
        <v>462</v>
      </c>
      <c r="H204" s="37" t="s">
        <v>34</v>
      </c>
      <c r="I204" s="37" t="s">
        <v>34</v>
      </c>
      <c r="J204" s="37" t="s">
        <v>34</v>
      </c>
      <c r="K204" s="37" t="s">
        <v>34</v>
      </c>
      <c r="L204" s="37" t="s">
        <v>34</v>
      </c>
      <c r="O204" s="57"/>
      <c r="P204" s="57"/>
      <c r="Q204" s="57"/>
      <c r="R204" s="121"/>
      <c r="S204" s="121"/>
      <c r="T204" s="122"/>
      <c r="U204" s="121"/>
      <c r="V204" s="121"/>
      <c r="W204" s="121"/>
      <c r="X204" s="121"/>
      <c r="Y204" s="121"/>
      <c r="Z204" s="121"/>
      <c r="AA204" s="121"/>
    </row>
    <row r="205" spans="2:27">
      <c r="B205" s="37" t="s">
        <v>463</v>
      </c>
      <c r="C205" s="40" t="s">
        <v>425</v>
      </c>
      <c r="D205" s="37" t="s">
        <v>14</v>
      </c>
      <c r="E205" s="39">
        <v>623000</v>
      </c>
      <c r="F205" s="37">
        <v>1985</v>
      </c>
      <c r="G205" s="38" t="s">
        <v>464</v>
      </c>
      <c r="H205" s="37" t="s">
        <v>34</v>
      </c>
      <c r="I205" s="37" t="s">
        <v>34</v>
      </c>
      <c r="J205" s="37" t="s">
        <v>34</v>
      </c>
      <c r="K205" s="37" t="s">
        <v>34</v>
      </c>
      <c r="L205" s="37" t="s">
        <v>34</v>
      </c>
      <c r="O205" s="57"/>
      <c r="P205" s="57"/>
      <c r="Q205" s="57"/>
      <c r="R205" s="121"/>
      <c r="S205" s="121"/>
      <c r="T205" s="122"/>
      <c r="U205" s="121"/>
      <c r="V205" s="121"/>
      <c r="W205" s="121"/>
      <c r="X205" s="121"/>
      <c r="Y205" s="121"/>
      <c r="Z205" s="121"/>
      <c r="AA205" s="121"/>
    </row>
    <row r="206" spans="2:27">
      <c r="B206" s="37" t="s">
        <v>465</v>
      </c>
      <c r="C206" s="40" t="s">
        <v>425</v>
      </c>
      <c r="D206" s="37" t="s">
        <v>14</v>
      </c>
      <c r="E206" s="39">
        <v>575000</v>
      </c>
      <c r="F206" s="37">
        <v>2002</v>
      </c>
      <c r="G206" s="38" t="s">
        <v>466</v>
      </c>
      <c r="H206" s="37" t="s">
        <v>34</v>
      </c>
      <c r="I206" s="37" t="s">
        <v>34</v>
      </c>
      <c r="J206" s="37" t="s">
        <v>34</v>
      </c>
      <c r="K206" s="37" t="s">
        <v>34</v>
      </c>
      <c r="L206" s="37" t="s">
        <v>34</v>
      </c>
      <c r="O206" s="57"/>
      <c r="P206" s="57"/>
      <c r="Q206" s="57"/>
      <c r="R206" s="121"/>
      <c r="S206" s="121"/>
      <c r="T206" s="122"/>
      <c r="U206" s="121"/>
      <c r="V206" s="121"/>
      <c r="W206" s="121"/>
      <c r="X206" s="121"/>
      <c r="Y206" s="121"/>
      <c r="Z206" s="121"/>
      <c r="AA206" s="121"/>
    </row>
    <row r="207" spans="2:27">
      <c r="B207" s="37" t="s">
        <v>467</v>
      </c>
      <c r="C207" s="40" t="s">
        <v>425</v>
      </c>
      <c r="D207" s="37" t="s">
        <v>14</v>
      </c>
      <c r="E207" s="39">
        <v>630000</v>
      </c>
      <c r="F207" s="37">
        <v>2001</v>
      </c>
      <c r="G207" s="38" t="s">
        <v>173</v>
      </c>
      <c r="H207" s="37" t="s">
        <v>34</v>
      </c>
      <c r="I207" s="37" t="s">
        <v>34</v>
      </c>
      <c r="J207" s="37" t="s">
        <v>34</v>
      </c>
      <c r="K207" s="37" t="s">
        <v>34</v>
      </c>
      <c r="L207" s="37" t="s">
        <v>34</v>
      </c>
      <c r="O207" s="57"/>
      <c r="P207" s="57"/>
      <c r="Q207" s="57"/>
      <c r="R207" s="121"/>
      <c r="S207" s="121"/>
      <c r="T207" s="122"/>
      <c r="U207" s="121"/>
      <c r="V207" s="121"/>
      <c r="W207" s="121"/>
      <c r="X207" s="121"/>
      <c r="Y207" s="121"/>
      <c r="Z207" s="121"/>
      <c r="AA207" s="121"/>
    </row>
    <row r="208" spans="2:27">
      <c r="B208" s="37" t="s">
        <v>468</v>
      </c>
      <c r="C208" s="40" t="s">
        <v>425</v>
      </c>
      <c r="D208" s="37" t="s">
        <v>14</v>
      </c>
      <c r="E208" s="39">
        <v>538000</v>
      </c>
      <c r="F208" s="37">
        <v>1993</v>
      </c>
      <c r="G208" s="38" t="s">
        <v>336</v>
      </c>
      <c r="H208" s="37" t="s">
        <v>34</v>
      </c>
      <c r="I208" s="37" t="s">
        <v>34</v>
      </c>
      <c r="J208" s="37" t="s">
        <v>34</v>
      </c>
      <c r="K208" s="37" t="s">
        <v>34</v>
      </c>
      <c r="L208" s="37" t="s">
        <v>34</v>
      </c>
      <c r="O208" s="57"/>
      <c r="P208" s="57"/>
      <c r="Q208" s="57"/>
      <c r="R208" s="121"/>
      <c r="S208" s="121"/>
      <c r="T208" s="122"/>
      <c r="U208" s="121"/>
      <c r="V208" s="121"/>
      <c r="W208" s="121"/>
      <c r="X208" s="121"/>
      <c r="Y208" s="121"/>
      <c r="Z208" s="121"/>
      <c r="AA208" s="121"/>
    </row>
    <row r="209" spans="2:27">
      <c r="B209" s="37" t="s">
        <v>469</v>
      </c>
      <c r="C209" s="40" t="s">
        <v>425</v>
      </c>
      <c r="D209" s="37" t="s">
        <v>177</v>
      </c>
      <c r="E209" s="39">
        <v>710000</v>
      </c>
      <c r="F209" s="37">
        <v>1985</v>
      </c>
      <c r="G209" s="38" t="s">
        <v>444</v>
      </c>
      <c r="H209" s="37" t="s">
        <v>34</v>
      </c>
      <c r="I209" s="37" t="s">
        <v>34</v>
      </c>
      <c r="J209" s="37" t="s">
        <v>34</v>
      </c>
      <c r="K209" s="37" t="s">
        <v>34</v>
      </c>
      <c r="L209" s="37" t="s">
        <v>34</v>
      </c>
      <c r="O209" s="57"/>
      <c r="P209" s="57"/>
      <c r="Q209" s="57"/>
      <c r="R209" s="121"/>
      <c r="S209" s="121"/>
      <c r="T209" s="122"/>
      <c r="U209" s="121"/>
      <c r="V209" s="121"/>
      <c r="W209" s="121"/>
      <c r="X209" s="121"/>
      <c r="Y209" s="121"/>
      <c r="Z209" s="121"/>
      <c r="AA209" s="121"/>
    </row>
    <row r="210" spans="2:27">
      <c r="B210" s="37" t="s">
        <v>470</v>
      </c>
      <c r="C210" s="40" t="s">
        <v>425</v>
      </c>
      <c r="D210" s="37" t="s">
        <v>177</v>
      </c>
      <c r="E210" s="39">
        <v>740000</v>
      </c>
      <c r="F210" s="37">
        <v>1985</v>
      </c>
      <c r="G210" s="38" t="s">
        <v>471</v>
      </c>
      <c r="H210" s="37" t="s">
        <v>35</v>
      </c>
      <c r="I210" s="37" t="s">
        <v>34</v>
      </c>
      <c r="J210" s="37" t="s">
        <v>34</v>
      </c>
      <c r="K210" s="37" t="s">
        <v>34</v>
      </c>
      <c r="L210" s="37" t="s">
        <v>34</v>
      </c>
      <c r="O210" s="57"/>
      <c r="P210" s="57"/>
      <c r="Q210" s="57"/>
      <c r="R210" s="121"/>
      <c r="S210" s="121"/>
      <c r="T210" s="122"/>
      <c r="U210" s="121"/>
      <c r="V210" s="121"/>
      <c r="W210" s="121"/>
      <c r="X210" s="121"/>
      <c r="Y210" s="121"/>
      <c r="Z210" s="121"/>
      <c r="AA210" s="121"/>
    </row>
    <row r="211" spans="2:27">
      <c r="B211" s="37" t="s">
        <v>472</v>
      </c>
      <c r="C211" s="40" t="s">
        <v>425</v>
      </c>
      <c r="D211" s="37" t="s">
        <v>177</v>
      </c>
      <c r="E211" s="39">
        <v>730000</v>
      </c>
      <c r="F211" s="37">
        <v>2001</v>
      </c>
      <c r="G211" s="38" t="s">
        <v>473</v>
      </c>
      <c r="H211" s="37" t="s">
        <v>34</v>
      </c>
      <c r="I211" s="37" t="s">
        <v>34</v>
      </c>
      <c r="J211" s="37" t="s">
        <v>34</v>
      </c>
      <c r="K211" s="37" t="s">
        <v>34</v>
      </c>
      <c r="L211" s="37" t="s">
        <v>34</v>
      </c>
      <c r="O211" s="57"/>
      <c r="P211" s="57"/>
      <c r="Q211" s="57"/>
      <c r="R211" s="121"/>
      <c r="S211" s="121"/>
      <c r="T211" s="122"/>
      <c r="U211" s="121"/>
      <c r="V211" s="121"/>
      <c r="W211" s="121"/>
      <c r="X211" s="121"/>
      <c r="Y211" s="121"/>
      <c r="Z211" s="121"/>
      <c r="AA211" s="121"/>
    </row>
    <row r="212" spans="2:27">
      <c r="B212" s="37" t="s">
        <v>474</v>
      </c>
      <c r="C212" s="40" t="s">
        <v>425</v>
      </c>
      <c r="D212" s="37" t="s">
        <v>177</v>
      </c>
      <c r="E212" s="39">
        <v>685000</v>
      </c>
      <c r="F212" s="37">
        <v>1988</v>
      </c>
      <c r="G212" s="38" t="s">
        <v>475</v>
      </c>
      <c r="H212" s="37" t="s">
        <v>34</v>
      </c>
      <c r="I212" s="37" t="s">
        <v>34</v>
      </c>
      <c r="J212" s="37" t="s">
        <v>34</v>
      </c>
      <c r="K212" s="37" t="s">
        <v>34</v>
      </c>
      <c r="L212" s="37" t="s">
        <v>34</v>
      </c>
      <c r="O212" s="57"/>
      <c r="P212" s="57"/>
      <c r="Q212" s="57"/>
      <c r="R212" s="121"/>
      <c r="S212" s="121"/>
      <c r="T212" s="122"/>
      <c r="U212" s="121"/>
      <c r="V212" s="121"/>
      <c r="W212" s="121"/>
      <c r="X212" s="121"/>
      <c r="Y212" s="121"/>
      <c r="Z212" s="121"/>
      <c r="AA212" s="121"/>
    </row>
    <row r="213" spans="2:27">
      <c r="B213" s="37" t="s">
        <v>476</v>
      </c>
      <c r="C213" s="32" t="s">
        <v>477</v>
      </c>
      <c r="D213" s="37" t="s">
        <v>82</v>
      </c>
      <c r="E213" s="39">
        <v>398000</v>
      </c>
      <c r="F213" s="37">
        <v>1974</v>
      </c>
      <c r="G213" s="38" t="s">
        <v>478</v>
      </c>
      <c r="H213" s="37" t="s">
        <v>34</v>
      </c>
      <c r="I213" s="37" t="s">
        <v>34</v>
      </c>
      <c r="J213" s="37" t="s">
        <v>34</v>
      </c>
      <c r="K213" s="37" t="s">
        <v>34</v>
      </c>
      <c r="L213" s="37" t="s">
        <v>34</v>
      </c>
      <c r="O213" s="57"/>
      <c r="P213" s="57"/>
      <c r="Q213" s="57"/>
      <c r="R213" s="121"/>
      <c r="S213" s="121"/>
      <c r="T213" s="122"/>
      <c r="U213" s="121"/>
      <c r="V213" s="121"/>
      <c r="W213" s="121"/>
      <c r="X213" s="121"/>
      <c r="Y213" s="121"/>
      <c r="Z213" s="121"/>
      <c r="AA213" s="121"/>
    </row>
    <row r="214" spans="2:27">
      <c r="B214" s="37" t="s">
        <v>479</v>
      </c>
      <c r="C214" s="32" t="s">
        <v>477</v>
      </c>
      <c r="D214" s="37" t="s">
        <v>71</v>
      </c>
      <c r="E214" s="39">
        <v>885000</v>
      </c>
      <c r="F214" s="37">
        <v>2017</v>
      </c>
      <c r="G214" s="38" t="s">
        <v>480</v>
      </c>
      <c r="H214" s="37" t="s">
        <v>34</v>
      </c>
      <c r="I214" s="37" t="s">
        <v>35</v>
      </c>
      <c r="J214" s="37" t="s">
        <v>34</v>
      </c>
      <c r="K214" s="37" t="s">
        <v>34</v>
      </c>
      <c r="L214" s="37" t="s">
        <v>34</v>
      </c>
      <c r="O214" s="57"/>
      <c r="P214" s="57"/>
      <c r="Q214" s="57"/>
      <c r="R214" s="121"/>
      <c r="S214" s="121"/>
      <c r="T214" s="122"/>
      <c r="U214" s="121"/>
      <c r="V214" s="121"/>
      <c r="W214" s="121"/>
      <c r="X214" s="121"/>
      <c r="Y214" s="121"/>
      <c r="Z214" s="121"/>
      <c r="AA214" s="121"/>
    </row>
    <row r="215" spans="2:27">
      <c r="B215" s="37" t="s">
        <v>481</v>
      </c>
      <c r="C215" s="32" t="s">
        <v>477</v>
      </c>
      <c r="D215" s="37" t="s">
        <v>71</v>
      </c>
      <c r="E215" s="39">
        <v>795000</v>
      </c>
      <c r="F215" s="37">
        <v>1996</v>
      </c>
      <c r="G215" s="38" t="s">
        <v>482</v>
      </c>
      <c r="H215" s="37" t="s">
        <v>34</v>
      </c>
      <c r="I215" s="37" t="s">
        <v>35</v>
      </c>
      <c r="J215" s="37" t="s">
        <v>34</v>
      </c>
      <c r="K215" s="37" t="s">
        <v>34</v>
      </c>
      <c r="L215" s="37" t="s">
        <v>34</v>
      </c>
      <c r="O215" s="57"/>
      <c r="P215" s="57"/>
      <c r="Q215" s="57"/>
      <c r="R215" s="121"/>
      <c r="S215" s="121"/>
      <c r="T215" s="122"/>
      <c r="U215" s="121"/>
      <c r="V215" s="121"/>
      <c r="W215" s="121"/>
      <c r="X215" s="121"/>
      <c r="Y215" s="121"/>
      <c r="Z215" s="121"/>
      <c r="AA215" s="121"/>
    </row>
    <row r="216" spans="2:27">
      <c r="B216" s="37" t="s">
        <v>483</v>
      </c>
      <c r="C216" s="32" t="s">
        <v>477</v>
      </c>
      <c r="D216" s="37" t="s">
        <v>71</v>
      </c>
      <c r="E216" s="39">
        <v>680800</v>
      </c>
      <c r="F216" s="37">
        <v>1997</v>
      </c>
      <c r="G216" s="38" t="s">
        <v>389</v>
      </c>
      <c r="H216" s="37" t="s">
        <v>34</v>
      </c>
      <c r="I216" s="37" t="s">
        <v>35</v>
      </c>
      <c r="J216" s="37" t="s">
        <v>34</v>
      </c>
      <c r="K216" s="37" t="s">
        <v>34</v>
      </c>
      <c r="L216" s="37" t="s">
        <v>35</v>
      </c>
      <c r="O216" s="57"/>
      <c r="P216" s="57"/>
      <c r="Q216" s="57"/>
      <c r="R216" s="121"/>
      <c r="S216" s="121"/>
      <c r="T216" s="122"/>
      <c r="U216" s="121"/>
      <c r="V216" s="121"/>
      <c r="W216" s="121"/>
      <c r="X216" s="121"/>
      <c r="Y216" s="121"/>
      <c r="Z216" s="121"/>
      <c r="AA216" s="121"/>
    </row>
    <row r="217" spans="2:27">
      <c r="B217" s="37" t="s">
        <v>484</v>
      </c>
      <c r="C217" s="32" t="s">
        <v>477</v>
      </c>
      <c r="D217" s="37" t="s">
        <v>14</v>
      </c>
      <c r="E217" s="39">
        <v>980000</v>
      </c>
      <c r="F217" s="37">
        <v>1984</v>
      </c>
      <c r="G217" s="38" t="s">
        <v>485</v>
      </c>
      <c r="H217" s="37" t="s">
        <v>34</v>
      </c>
      <c r="I217" s="37" t="s">
        <v>35</v>
      </c>
      <c r="J217" s="37" t="s">
        <v>34</v>
      </c>
      <c r="K217" s="37" t="s">
        <v>34</v>
      </c>
      <c r="L217" s="37" t="s">
        <v>35</v>
      </c>
      <c r="O217" s="57"/>
      <c r="P217" s="57"/>
      <c r="Q217" s="57"/>
      <c r="R217" s="121"/>
      <c r="S217" s="121"/>
      <c r="T217" s="122"/>
      <c r="U217" s="121"/>
      <c r="V217" s="121"/>
      <c r="W217" s="121"/>
      <c r="X217" s="121"/>
      <c r="Y217" s="121"/>
      <c r="Z217" s="121"/>
      <c r="AA217" s="121"/>
    </row>
    <row r="218" spans="2:27">
      <c r="B218" s="37" t="s">
        <v>486</v>
      </c>
      <c r="C218" s="32" t="s">
        <v>477</v>
      </c>
      <c r="D218" s="37" t="s">
        <v>14</v>
      </c>
      <c r="E218" s="39">
        <v>1060000</v>
      </c>
      <c r="F218" s="37">
        <v>1983</v>
      </c>
      <c r="G218" s="38" t="s">
        <v>487</v>
      </c>
      <c r="H218" s="37" t="s">
        <v>34</v>
      </c>
      <c r="I218" s="37" t="s">
        <v>35</v>
      </c>
      <c r="J218" s="37" t="s">
        <v>34</v>
      </c>
      <c r="K218" s="37" t="s">
        <v>34</v>
      </c>
      <c r="L218" s="37" t="s">
        <v>34</v>
      </c>
      <c r="O218" s="57"/>
      <c r="P218" s="57"/>
      <c r="Q218" s="57"/>
      <c r="R218" s="121"/>
      <c r="S218" s="121"/>
      <c r="T218" s="122"/>
      <c r="U218" s="121"/>
      <c r="V218" s="121"/>
      <c r="W218" s="121"/>
      <c r="X218" s="121"/>
      <c r="Y218" s="121"/>
      <c r="Z218" s="121"/>
      <c r="AA218" s="121"/>
    </row>
    <row r="219" spans="2:27">
      <c r="B219" s="37" t="s">
        <v>488</v>
      </c>
      <c r="C219" s="32" t="s">
        <v>489</v>
      </c>
      <c r="D219" s="37" t="s">
        <v>82</v>
      </c>
      <c r="E219" s="39">
        <v>425000</v>
      </c>
      <c r="F219" s="37">
        <v>1976</v>
      </c>
      <c r="G219" s="38" t="s">
        <v>490</v>
      </c>
      <c r="H219" s="37" t="s">
        <v>34</v>
      </c>
      <c r="I219" s="37" t="s">
        <v>35</v>
      </c>
      <c r="J219" s="37" t="s">
        <v>34</v>
      </c>
      <c r="K219" s="37" t="s">
        <v>34</v>
      </c>
      <c r="L219" s="37" t="s">
        <v>35</v>
      </c>
      <c r="O219" s="57"/>
      <c r="P219" s="57"/>
      <c r="Q219" s="57"/>
      <c r="R219" s="121"/>
      <c r="S219" s="121"/>
      <c r="T219" s="122"/>
      <c r="U219" s="121"/>
      <c r="V219" s="121"/>
      <c r="W219" s="121"/>
      <c r="X219" s="121"/>
      <c r="Y219" s="121"/>
      <c r="Z219" s="121"/>
      <c r="AA219" s="121"/>
    </row>
    <row r="220" spans="2:27">
      <c r="B220" s="37" t="s">
        <v>491</v>
      </c>
      <c r="C220" s="32" t="s">
        <v>489</v>
      </c>
      <c r="D220" s="37" t="s">
        <v>82</v>
      </c>
      <c r="E220" s="39">
        <v>350000</v>
      </c>
      <c r="F220" s="37">
        <v>1975</v>
      </c>
      <c r="G220" s="38" t="s">
        <v>492</v>
      </c>
      <c r="H220" s="37" t="s">
        <v>34</v>
      </c>
      <c r="I220" s="37" t="s">
        <v>35</v>
      </c>
      <c r="J220" s="37" t="s">
        <v>35</v>
      </c>
      <c r="K220" s="37" t="s">
        <v>34</v>
      </c>
      <c r="L220" s="37" t="s">
        <v>493</v>
      </c>
      <c r="O220" s="57"/>
      <c r="P220" s="57"/>
      <c r="Q220" s="57"/>
      <c r="R220" s="121"/>
      <c r="S220" s="121"/>
      <c r="T220" s="122"/>
      <c r="U220" s="121"/>
      <c r="V220" s="121"/>
      <c r="W220" s="121"/>
      <c r="X220" s="121"/>
      <c r="Y220" s="121"/>
      <c r="Z220" s="121"/>
      <c r="AA220" s="121"/>
    </row>
    <row r="221" spans="2:27">
      <c r="B221" s="37" t="s">
        <v>494</v>
      </c>
      <c r="C221" s="32" t="s">
        <v>489</v>
      </c>
      <c r="D221" s="37" t="s">
        <v>71</v>
      </c>
      <c r="E221" s="39">
        <v>627000</v>
      </c>
      <c r="F221" s="37">
        <v>1976</v>
      </c>
      <c r="G221" s="38" t="s">
        <v>495</v>
      </c>
      <c r="H221" s="37" t="s">
        <v>34</v>
      </c>
      <c r="I221" s="37" t="s">
        <v>35</v>
      </c>
      <c r="J221" s="37" t="s">
        <v>34</v>
      </c>
      <c r="K221" s="37" t="s">
        <v>34</v>
      </c>
      <c r="L221" s="37" t="s">
        <v>493</v>
      </c>
      <c r="O221" s="57"/>
      <c r="P221" s="57"/>
      <c r="Q221" s="57"/>
      <c r="R221" s="121"/>
      <c r="S221" s="121"/>
      <c r="T221" s="122"/>
      <c r="U221" s="121"/>
      <c r="V221" s="121"/>
      <c r="W221" s="121"/>
      <c r="X221" s="121"/>
      <c r="Y221" s="121"/>
      <c r="Z221" s="121"/>
      <c r="AA221" s="121"/>
    </row>
    <row r="222" spans="2:27">
      <c r="B222" s="37" t="s">
        <v>496</v>
      </c>
      <c r="C222" s="32" t="s">
        <v>497</v>
      </c>
      <c r="D222" s="37" t="s">
        <v>82</v>
      </c>
      <c r="E222" s="39">
        <v>353000</v>
      </c>
      <c r="F222" s="37">
        <v>1981</v>
      </c>
      <c r="G222" s="38" t="s">
        <v>419</v>
      </c>
      <c r="H222" s="37" t="s">
        <v>35</v>
      </c>
      <c r="I222" s="37" t="s">
        <v>35</v>
      </c>
      <c r="J222" s="37" t="s">
        <v>35</v>
      </c>
      <c r="K222" s="37" t="s">
        <v>35</v>
      </c>
      <c r="L222" s="37" t="s">
        <v>35</v>
      </c>
      <c r="O222" s="57"/>
      <c r="P222" s="57"/>
      <c r="Q222" s="57"/>
      <c r="R222" s="121"/>
      <c r="S222" s="121"/>
      <c r="T222" s="122"/>
      <c r="U222" s="121"/>
      <c r="V222" s="121"/>
      <c r="W222" s="121"/>
      <c r="X222" s="121"/>
      <c r="Y222" s="121"/>
      <c r="Z222" s="121"/>
      <c r="AA222" s="121"/>
    </row>
    <row r="223" spans="2:27">
      <c r="B223" s="37" t="s">
        <v>498</v>
      </c>
      <c r="C223" s="32" t="s">
        <v>497</v>
      </c>
      <c r="D223" s="37" t="s">
        <v>71</v>
      </c>
      <c r="E223" s="39">
        <v>768000</v>
      </c>
      <c r="F223" s="37">
        <v>2015</v>
      </c>
      <c r="G223" s="38" t="s">
        <v>391</v>
      </c>
      <c r="H223" s="37" t="s">
        <v>34</v>
      </c>
      <c r="I223" s="37" t="s">
        <v>34</v>
      </c>
      <c r="J223" s="37" t="s">
        <v>34</v>
      </c>
      <c r="K223" s="37" t="s">
        <v>34</v>
      </c>
      <c r="L223" s="37" t="s">
        <v>34</v>
      </c>
      <c r="O223" s="57"/>
      <c r="P223" s="57"/>
      <c r="Q223" s="57"/>
      <c r="R223" s="121"/>
      <c r="S223" s="121"/>
      <c r="T223" s="122"/>
      <c r="U223" s="121"/>
      <c r="V223" s="121"/>
      <c r="W223" s="121"/>
      <c r="X223" s="121"/>
      <c r="Y223" s="121"/>
      <c r="Z223" s="121"/>
      <c r="AA223" s="121"/>
    </row>
    <row r="224" spans="2:27">
      <c r="B224" s="37" t="s">
        <v>499</v>
      </c>
      <c r="C224" s="32" t="s">
        <v>497</v>
      </c>
      <c r="D224" s="37" t="s">
        <v>71</v>
      </c>
      <c r="E224" s="39">
        <v>735000</v>
      </c>
      <c r="F224" s="37">
        <v>2015</v>
      </c>
      <c r="G224" s="38" t="s">
        <v>500</v>
      </c>
      <c r="H224" s="37" t="s">
        <v>34</v>
      </c>
      <c r="I224" s="37" t="s">
        <v>34</v>
      </c>
      <c r="J224" s="37" t="s">
        <v>34</v>
      </c>
      <c r="K224" s="37" t="s">
        <v>34</v>
      </c>
      <c r="L224" s="37" t="s">
        <v>34</v>
      </c>
      <c r="O224" s="57"/>
      <c r="P224" s="57"/>
      <c r="Q224" s="57"/>
      <c r="R224" s="121"/>
      <c r="S224" s="121"/>
      <c r="T224" s="122"/>
      <c r="U224" s="121"/>
      <c r="V224" s="121"/>
      <c r="W224" s="121"/>
      <c r="X224" s="121"/>
      <c r="Y224" s="121"/>
      <c r="Z224" s="121"/>
      <c r="AA224" s="121"/>
    </row>
    <row r="225" spans="2:27">
      <c r="B225" s="37" t="s">
        <v>501</v>
      </c>
      <c r="C225" s="32" t="s">
        <v>497</v>
      </c>
      <c r="D225" s="37" t="s">
        <v>71</v>
      </c>
      <c r="E225" s="39">
        <v>610000</v>
      </c>
      <c r="F225" s="37">
        <v>1989</v>
      </c>
      <c r="G225" s="38" t="s">
        <v>348</v>
      </c>
      <c r="H225" s="37" t="s">
        <v>34</v>
      </c>
      <c r="I225" s="37" t="s">
        <v>35</v>
      </c>
      <c r="J225" s="37" t="s">
        <v>34</v>
      </c>
      <c r="K225" s="37" t="s">
        <v>34</v>
      </c>
      <c r="L225" s="37" t="s">
        <v>35</v>
      </c>
      <c r="O225" s="57"/>
      <c r="P225" s="57"/>
      <c r="Q225" s="57"/>
      <c r="R225" s="121"/>
      <c r="S225" s="121"/>
      <c r="T225" s="122"/>
      <c r="U225" s="121"/>
      <c r="V225" s="121"/>
      <c r="W225" s="121"/>
      <c r="X225" s="121"/>
      <c r="Y225" s="121"/>
      <c r="Z225" s="121"/>
      <c r="AA225" s="121"/>
    </row>
    <row r="226" spans="2:27">
      <c r="B226" s="37" t="s">
        <v>502</v>
      </c>
      <c r="C226" s="32" t="s">
        <v>497</v>
      </c>
      <c r="D226" s="37" t="s">
        <v>71</v>
      </c>
      <c r="E226" s="39">
        <v>545000</v>
      </c>
      <c r="F226" s="37">
        <v>1992</v>
      </c>
      <c r="G226" s="38" t="s">
        <v>503</v>
      </c>
      <c r="H226" s="37" t="s">
        <v>34</v>
      </c>
      <c r="I226" s="37" t="s">
        <v>35</v>
      </c>
      <c r="J226" s="37" t="s">
        <v>35</v>
      </c>
      <c r="K226" s="37" t="s">
        <v>34</v>
      </c>
      <c r="L226" s="37" t="s">
        <v>35</v>
      </c>
      <c r="O226" s="57"/>
      <c r="P226" s="57"/>
      <c r="Q226" s="57"/>
      <c r="R226" s="121"/>
      <c r="S226" s="121"/>
      <c r="T226" s="122"/>
      <c r="U226" s="121"/>
      <c r="V226" s="121"/>
      <c r="W226" s="121"/>
      <c r="X226" s="121"/>
      <c r="Y226" s="121"/>
      <c r="Z226" s="121"/>
      <c r="AA226" s="121"/>
    </row>
    <row r="227" spans="2:27">
      <c r="B227" s="37" t="s">
        <v>504</v>
      </c>
      <c r="C227" s="32" t="s">
        <v>497</v>
      </c>
      <c r="D227" s="37" t="s">
        <v>71</v>
      </c>
      <c r="E227" s="39">
        <v>670000</v>
      </c>
      <c r="F227" s="37">
        <v>2015</v>
      </c>
      <c r="G227" s="38" t="s">
        <v>505</v>
      </c>
      <c r="H227" s="37" t="s">
        <v>34</v>
      </c>
      <c r="I227" s="37" t="s">
        <v>34</v>
      </c>
      <c r="J227" s="37" t="s">
        <v>34</v>
      </c>
      <c r="K227" s="37" t="s">
        <v>34</v>
      </c>
      <c r="L227" s="37" t="s">
        <v>34</v>
      </c>
      <c r="O227" s="57"/>
      <c r="P227" s="57"/>
      <c r="Q227" s="57"/>
      <c r="R227" s="121"/>
      <c r="S227" s="121"/>
      <c r="T227" s="122"/>
      <c r="U227" s="121"/>
      <c r="V227" s="121"/>
      <c r="W227" s="121"/>
      <c r="X227" s="121"/>
      <c r="Y227" s="121"/>
      <c r="Z227" s="121"/>
      <c r="AA227" s="121"/>
    </row>
    <row r="228" spans="2:27">
      <c r="B228" s="37" t="s">
        <v>506</v>
      </c>
      <c r="C228" s="32" t="s">
        <v>497</v>
      </c>
      <c r="D228" s="37" t="s">
        <v>71</v>
      </c>
      <c r="E228" s="39">
        <v>630000</v>
      </c>
      <c r="F228" s="37">
        <v>1995</v>
      </c>
      <c r="G228" s="38" t="s">
        <v>507</v>
      </c>
      <c r="H228" s="37" t="s">
        <v>34</v>
      </c>
      <c r="I228" s="37" t="s">
        <v>34</v>
      </c>
      <c r="J228" s="37" t="s">
        <v>35</v>
      </c>
      <c r="K228" s="37" t="s">
        <v>34</v>
      </c>
      <c r="L228" s="37" t="s">
        <v>34</v>
      </c>
      <c r="O228" s="57"/>
      <c r="P228" s="57"/>
      <c r="Q228" s="57"/>
      <c r="R228" s="121"/>
      <c r="S228" s="121"/>
      <c r="T228" s="122"/>
      <c r="U228" s="121"/>
      <c r="V228" s="121"/>
      <c r="W228" s="121"/>
      <c r="X228" s="121"/>
      <c r="Y228" s="121"/>
      <c r="Z228" s="121"/>
      <c r="AA228" s="121"/>
    </row>
    <row r="229" spans="2:27">
      <c r="B229" s="37" t="s">
        <v>508</v>
      </c>
      <c r="C229" s="32" t="s">
        <v>497</v>
      </c>
      <c r="D229" s="37" t="s">
        <v>71</v>
      </c>
      <c r="E229" s="39">
        <v>615000</v>
      </c>
      <c r="F229" s="37">
        <v>1996</v>
      </c>
      <c r="G229" s="38" t="s">
        <v>167</v>
      </c>
      <c r="H229" s="37" t="s">
        <v>34</v>
      </c>
      <c r="I229" s="37" t="s">
        <v>34</v>
      </c>
      <c r="J229" s="37" t="s">
        <v>34</v>
      </c>
      <c r="K229" s="37" t="s">
        <v>34</v>
      </c>
      <c r="L229" s="37" t="s">
        <v>35</v>
      </c>
      <c r="O229" s="57"/>
      <c r="P229" s="57"/>
      <c r="Q229" s="57"/>
      <c r="R229" s="121"/>
      <c r="S229" s="121"/>
      <c r="T229" s="122"/>
      <c r="U229" s="121"/>
      <c r="V229" s="121"/>
      <c r="W229" s="121"/>
      <c r="X229" s="121"/>
      <c r="Y229" s="121"/>
      <c r="Z229" s="121"/>
      <c r="AA229" s="121"/>
    </row>
    <row r="230" spans="2:27">
      <c r="B230" s="37" t="s">
        <v>509</v>
      </c>
      <c r="C230" s="32" t="s">
        <v>497</v>
      </c>
      <c r="D230" s="37" t="s">
        <v>14</v>
      </c>
      <c r="E230" s="39">
        <v>640000</v>
      </c>
      <c r="F230" s="37">
        <v>1996</v>
      </c>
      <c r="G230" s="38" t="s">
        <v>510</v>
      </c>
      <c r="H230" s="37" t="s">
        <v>34</v>
      </c>
      <c r="I230" s="38" t="s">
        <v>34</v>
      </c>
      <c r="J230" s="38" t="s">
        <v>34</v>
      </c>
      <c r="K230" s="38" t="s">
        <v>34</v>
      </c>
      <c r="L230" s="37" t="s">
        <v>35</v>
      </c>
      <c r="O230" s="57"/>
      <c r="P230" s="57"/>
      <c r="Q230" s="57"/>
      <c r="R230" s="121"/>
      <c r="S230" s="121"/>
      <c r="T230" s="122"/>
      <c r="U230" s="121"/>
      <c r="V230" s="121"/>
      <c r="W230" s="121"/>
      <c r="X230" s="121"/>
      <c r="Y230" s="121"/>
      <c r="Z230" s="121"/>
      <c r="AA230" s="121"/>
    </row>
    <row r="231" spans="2:27">
      <c r="B231" s="37" t="s">
        <v>511</v>
      </c>
      <c r="C231" s="32" t="s">
        <v>497</v>
      </c>
      <c r="D231" s="37" t="s">
        <v>14</v>
      </c>
      <c r="E231" s="39">
        <v>645000</v>
      </c>
      <c r="F231" s="37">
        <v>1992</v>
      </c>
      <c r="G231" s="38" t="s">
        <v>503</v>
      </c>
      <c r="H231" s="37" t="s">
        <v>34</v>
      </c>
      <c r="I231" s="37" t="s">
        <v>35</v>
      </c>
      <c r="J231" s="37" t="s">
        <v>34</v>
      </c>
      <c r="K231" s="37" t="s">
        <v>34</v>
      </c>
      <c r="L231" s="37" t="s">
        <v>35</v>
      </c>
      <c r="O231" s="57"/>
      <c r="P231" s="57"/>
      <c r="Q231" s="57"/>
      <c r="R231" s="121"/>
      <c r="S231" s="121"/>
      <c r="T231" s="122"/>
      <c r="U231" s="121"/>
      <c r="V231" s="121"/>
      <c r="W231" s="121"/>
      <c r="X231" s="121"/>
      <c r="Y231" s="121"/>
      <c r="Z231" s="121"/>
      <c r="AA231" s="121"/>
    </row>
    <row r="232" spans="2:27">
      <c r="B232" s="37" t="s">
        <v>512</v>
      </c>
      <c r="C232" s="32" t="s">
        <v>497</v>
      </c>
      <c r="D232" s="37" t="s">
        <v>14</v>
      </c>
      <c r="E232" s="39">
        <v>615000</v>
      </c>
      <c r="F232" s="37">
        <v>1996</v>
      </c>
      <c r="G232" s="38" t="s">
        <v>179</v>
      </c>
      <c r="H232" s="37" t="s">
        <v>34</v>
      </c>
      <c r="I232" s="37" t="s">
        <v>35</v>
      </c>
      <c r="J232" s="37" t="s">
        <v>35</v>
      </c>
      <c r="K232" s="37" t="s">
        <v>34</v>
      </c>
      <c r="L232" s="37" t="s">
        <v>35</v>
      </c>
      <c r="O232" s="57"/>
      <c r="P232" s="57"/>
      <c r="Q232" s="57"/>
      <c r="R232" s="121"/>
      <c r="S232" s="121"/>
      <c r="T232" s="122"/>
      <c r="U232" s="121"/>
      <c r="V232" s="121"/>
      <c r="W232" s="121"/>
      <c r="X232" s="121"/>
      <c r="Y232" s="121"/>
      <c r="Z232" s="121"/>
      <c r="AA232" s="121"/>
    </row>
    <row r="233" spans="2:27">
      <c r="B233" s="37" t="s">
        <v>513</v>
      </c>
      <c r="C233" s="32" t="s">
        <v>497</v>
      </c>
      <c r="D233" s="37" t="s">
        <v>177</v>
      </c>
      <c r="E233" s="39">
        <v>910000</v>
      </c>
      <c r="F233" s="37">
        <v>1995</v>
      </c>
      <c r="G233" s="38" t="s">
        <v>514</v>
      </c>
      <c r="H233" s="37" t="s">
        <v>34</v>
      </c>
      <c r="I233" s="37" t="s">
        <v>34</v>
      </c>
      <c r="J233" s="37" t="s">
        <v>34</v>
      </c>
      <c r="K233" s="37" t="s">
        <v>34</v>
      </c>
      <c r="L233" s="37" t="s">
        <v>35</v>
      </c>
      <c r="O233" s="57"/>
      <c r="P233" s="57"/>
      <c r="Q233" s="57"/>
      <c r="R233" s="121"/>
      <c r="S233" s="121"/>
      <c r="T233" s="122"/>
      <c r="U233" s="121"/>
      <c r="V233" s="121"/>
      <c r="W233" s="121"/>
      <c r="X233" s="121"/>
      <c r="Y233" s="121"/>
      <c r="Z233" s="121"/>
      <c r="AA233" s="121"/>
    </row>
    <row r="234" spans="2:27">
      <c r="B234" s="37" t="s">
        <v>515</v>
      </c>
      <c r="C234" s="40" t="s">
        <v>92</v>
      </c>
      <c r="D234" s="37" t="s">
        <v>31</v>
      </c>
      <c r="E234" s="39">
        <v>351000</v>
      </c>
      <c r="F234" s="37">
        <v>2014</v>
      </c>
      <c r="G234" s="38" t="s">
        <v>516</v>
      </c>
      <c r="H234" s="37" t="s">
        <v>34</v>
      </c>
      <c r="I234" s="37" t="s">
        <v>34</v>
      </c>
      <c r="J234" s="37" t="s">
        <v>35</v>
      </c>
      <c r="K234" s="37" t="s">
        <v>34</v>
      </c>
      <c r="L234" s="37" t="s">
        <v>269</v>
      </c>
      <c r="O234" s="57"/>
      <c r="P234" s="57"/>
      <c r="Q234" s="57"/>
      <c r="R234" s="121"/>
      <c r="S234" s="121"/>
      <c r="T234" s="122"/>
      <c r="U234" s="121"/>
      <c r="V234" s="121"/>
      <c r="W234" s="121"/>
      <c r="X234" s="121"/>
      <c r="Y234" s="121"/>
      <c r="Z234" s="121"/>
      <c r="AA234" s="121"/>
    </row>
    <row r="235" spans="2:27">
      <c r="B235" s="37" t="s">
        <v>517</v>
      </c>
      <c r="C235" s="40" t="s">
        <v>92</v>
      </c>
      <c r="D235" s="37" t="s">
        <v>82</v>
      </c>
      <c r="E235" s="39">
        <v>458000</v>
      </c>
      <c r="F235" s="37">
        <v>2018</v>
      </c>
      <c r="G235" s="38" t="s">
        <v>518</v>
      </c>
      <c r="H235" s="37" t="s">
        <v>34</v>
      </c>
      <c r="I235" s="37" t="s">
        <v>34</v>
      </c>
      <c r="J235" s="37" t="s">
        <v>35</v>
      </c>
      <c r="K235" s="37" t="s">
        <v>34</v>
      </c>
      <c r="L235" s="37" t="s">
        <v>269</v>
      </c>
      <c r="O235" s="57"/>
      <c r="P235" s="57"/>
      <c r="Q235" s="57"/>
      <c r="R235" s="121"/>
      <c r="S235" s="121"/>
      <c r="T235" s="122"/>
      <c r="U235" s="121"/>
      <c r="V235" s="121"/>
      <c r="W235" s="121"/>
      <c r="X235" s="121"/>
      <c r="Y235" s="121"/>
      <c r="Z235" s="121"/>
      <c r="AA235" s="121"/>
    </row>
    <row r="236" spans="2:27">
      <c r="B236" s="37" t="s">
        <v>517</v>
      </c>
      <c r="C236" s="40" t="s">
        <v>92</v>
      </c>
      <c r="D236" s="37" t="s">
        <v>82</v>
      </c>
      <c r="E236" s="39">
        <v>452500</v>
      </c>
      <c r="F236" s="37">
        <v>2018</v>
      </c>
      <c r="G236" s="38" t="s">
        <v>518</v>
      </c>
      <c r="H236" s="37" t="s">
        <v>34</v>
      </c>
      <c r="I236" s="37" t="s">
        <v>34</v>
      </c>
      <c r="J236" s="37" t="s">
        <v>35</v>
      </c>
      <c r="K236" s="37" t="s">
        <v>34</v>
      </c>
      <c r="L236" s="37" t="s">
        <v>269</v>
      </c>
      <c r="O236" s="57"/>
      <c r="P236" s="57"/>
      <c r="Q236" s="57"/>
      <c r="R236" s="121"/>
      <c r="S236" s="121"/>
      <c r="T236" s="122"/>
      <c r="U236" s="121"/>
      <c r="V236" s="121"/>
      <c r="W236" s="121"/>
      <c r="X236" s="121"/>
      <c r="Y236" s="121"/>
      <c r="Z236" s="121"/>
      <c r="AA236" s="121"/>
    </row>
    <row r="237" spans="2:27">
      <c r="B237" s="37" t="s">
        <v>519</v>
      </c>
      <c r="C237" s="40" t="s">
        <v>92</v>
      </c>
      <c r="D237" s="37" t="s">
        <v>82</v>
      </c>
      <c r="E237" s="39">
        <v>512000</v>
      </c>
      <c r="F237" s="37">
        <v>2012</v>
      </c>
      <c r="G237" s="38" t="s">
        <v>520</v>
      </c>
      <c r="H237" s="37" t="s">
        <v>34</v>
      </c>
      <c r="I237" s="37" t="s">
        <v>35</v>
      </c>
      <c r="J237" s="37" t="s">
        <v>34</v>
      </c>
      <c r="K237" s="37" t="s">
        <v>34</v>
      </c>
      <c r="L237" s="37" t="s">
        <v>269</v>
      </c>
      <c r="O237" s="57"/>
      <c r="P237" s="57"/>
      <c r="Q237" s="57"/>
      <c r="R237" s="121"/>
      <c r="S237" s="121"/>
      <c r="T237" s="122"/>
      <c r="U237" s="121"/>
      <c r="V237" s="121"/>
      <c r="W237" s="121"/>
      <c r="X237" s="121"/>
      <c r="Y237" s="121"/>
      <c r="Z237" s="121"/>
      <c r="AA237" s="121"/>
    </row>
    <row r="238" spans="2:27">
      <c r="B238" s="37" t="s">
        <v>521</v>
      </c>
      <c r="C238" s="40" t="s">
        <v>92</v>
      </c>
      <c r="D238" s="37" t="s">
        <v>82</v>
      </c>
      <c r="E238" s="39">
        <v>473600</v>
      </c>
      <c r="F238" s="37">
        <v>2016</v>
      </c>
      <c r="G238" s="38" t="s">
        <v>402</v>
      </c>
      <c r="H238" s="37" t="s">
        <v>34</v>
      </c>
      <c r="I238" s="37" t="s">
        <v>34</v>
      </c>
      <c r="J238" s="37" t="s">
        <v>35</v>
      </c>
      <c r="K238" s="37" t="s">
        <v>34</v>
      </c>
      <c r="L238" s="37" t="s">
        <v>269</v>
      </c>
      <c r="O238" s="57"/>
      <c r="P238" s="57"/>
      <c r="Q238" s="57"/>
      <c r="R238" s="121"/>
      <c r="S238" s="121"/>
      <c r="T238" s="122"/>
      <c r="U238" s="121"/>
      <c r="V238" s="121"/>
      <c r="W238" s="121"/>
      <c r="X238" s="121"/>
      <c r="Y238" s="121"/>
      <c r="Z238" s="121"/>
      <c r="AA238" s="121"/>
    </row>
    <row r="239" spans="2:27">
      <c r="B239" s="37" t="s">
        <v>522</v>
      </c>
      <c r="C239" s="40" t="s">
        <v>92</v>
      </c>
      <c r="D239" s="37" t="s">
        <v>82</v>
      </c>
      <c r="E239" s="39">
        <v>500000</v>
      </c>
      <c r="F239" s="37">
        <v>2018</v>
      </c>
      <c r="G239" s="38" t="s">
        <v>257</v>
      </c>
      <c r="H239" s="37" t="s">
        <v>34</v>
      </c>
      <c r="I239" s="37" t="s">
        <v>34</v>
      </c>
      <c r="J239" s="37" t="s">
        <v>35</v>
      </c>
      <c r="K239" s="37" t="s">
        <v>34</v>
      </c>
      <c r="L239" s="37" t="s">
        <v>269</v>
      </c>
      <c r="O239" s="57"/>
      <c r="P239" s="57"/>
      <c r="Q239" s="57"/>
      <c r="R239" s="121"/>
      <c r="S239" s="121"/>
      <c r="T239" s="122"/>
      <c r="U239" s="121"/>
      <c r="V239" s="121"/>
      <c r="W239" s="121"/>
      <c r="X239" s="121"/>
      <c r="Y239" s="121"/>
      <c r="Z239" s="121"/>
      <c r="AA239" s="121"/>
    </row>
    <row r="240" spans="2:27">
      <c r="B240" s="37" t="s">
        <v>523</v>
      </c>
      <c r="C240" s="40" t="s">
        <v>92</v>
      </c>
      <c r="D240" s="37" t="s">
        <v>82</v>
      </c>
      <c r="E240" s="39">
        <v>505000</v>
      </c>
      <c r="F240" s="37">
        <v>2017</v>
      </c>
      <c r="G240" s="38" t="s">
        <v>326</v>
      </c>
      <c r="H240" s="37" t="s">
        <v>34</v>
      </c>
      <c r="I240" s="37" t="s">
        <v>34</v>
      </c>
      <c r="J240" s="37" t="s">
        <v>34</v>
      </c>
      <c r="K240" s="37" t="s">
        <v>34</v>
      </c>
      <c r="L240" s="37" t="s">
        <v>34</v>
      </c>
      <c r="O240" s="57"/>
      <c r="P240" s="57"/>
      <c r="Q240" s="57"/>
      <c r="R240" s="121"/>
      <c r="S240" s="121"/>
      <c r="T240" s="122"/>
      <c r="U240" s="121"/>
      <c r="V240" s="121"/>
      <c r="W240" s="121"/>
      <c r="X240" s="121"/>
      <c r="Y240" s="121"/>
      <c r="Z240" s="121"/>
      <c r="AA240" s="121"/>
    </row>
    <row r="241" spans="2:27">
      <c r="B241" s="37" t="s">
        <v>524</v>
      </c>
      <c r="C241" s="40" t="s">
        <v>92</v>
      </c>
      <c r="D241" s="37" t="s">
        <v>82</v>
      </c>
      <c r="E241" s="39">
        <v>490000</v>
      </c>
      <c r="F241" s="37">
        <v>2016</v>
      </c>
      <c r="G241" s="38" t="s">
        <v>525</v>
      </c>
      <c r="H241" s="37" t="s">
        <v>34</v>
      </c>
      <c r="I241" s="37" t="s">
        <v>34</v>
      </c>
      <c r="J241" s="37" t="s">
        <v>34</v>
      </c>
      <c r="K241" s="37" t="s">
        <v>34</v>
      </c>
      <c r="L241" s="37" t="s">
        <v>34</v>
      </c>
      <c r="O241" s="57"/>
      <c r="P241" s="57"/>
      <c r="Q241" s="57"/>
      <c r="R241" s="121"/>
      <c r="S241" s="121"/>
      <c r="T241" s="122"/>
      <c r="U241" s="121"/>
      <c r="V241" s="121"/>
      <c r="W241" s="121"/>
      <c r="X241" s="121"/>
      <c r="Y241" s="121"/>
      <c r="Z241" s="121"/>
      <c r="AA241" s="121"/>
    </row>
    <row r="242" spans="2:27">
      <c r="B242" s="37" t="s">
        <v>526</v>
      </c>
      <c r="C242" s="40" t="s">
        <v>92</v>
      </c>
      <c r="D242" s="37" t="s">
        <v>82</v>
      </c>
      <c r="E242" s="39">
        <v>505000</v>
      </c>
      <c r="F242" s="37">
        <v>2019</v>
      </c>
      <c r="G242" s="38" t="s">
        <v>207</v>
      </c>
      <c r="H242" s="37" t="s">
        <v>34</v>
      </c>
      <c r="I242" s="37" t="s">
        <v>34</v>
      </c>
      <c r="J242" s="37" t="s">
        <v>34</v>
      </c>
      <c r="K242" s="37" t="s">
        <v>34</v>
      </c>
      <c r="L242" s="37" t="s">
        <v>34</v>
      </c>
      <c r="O242" s="57"/>
      <c r="P242" s="57"/>
      <c r="Q242" s="57"/>
      <c r="R242" s="121"/>
      <c r="S242" s="121"/>
      <c r="T242" s="122"/>
      <c r="U242" s="121"/>
      <c r="V242" s="121"/>
      <c r="W242" s="121"/>
      <c r="X242" s="121"/>
      <c r="Y242" s="121"/>
      <c r="Z242" s="121"/>
      <c r="AA242" s="121"/>
    </row>
    <row r="243" spans="2:27">
      <c r="B243" s="37" t="s">
        <v>527</v>
      </c>
      <c r="C243" s="40" t="s">
        <v>92</v>
      </c>
      <c r="D243" s="37" t="s">
        <v>71</v>
      </c>
      <c r="E243" s="39">
        <v>612000</v>
      </c>
      <c r="F243" s="37">
        <v>2017</v>
      </c>
      <c r="G243" s="38" t="s">
        <v>245</v>
      </c>
      <c r="H243" s="37" t="s">
        <v>34</v>
      </c>
      <c r="I243" s="37" t="s">
        <v>34</v>
      </c>
      <c r="J243" s="37" t="s">
        <v>35</v>
      </c>
      <c r="K243" s="37" t="s">
        <v>34</v>
      </c>
      <c r="L243" s="37" t="s">
        <v>269</v>
      </c>
      <c r="O243" s="57"/>
      <c r="P243" s="57"/>
      <c r="Q243" s="57"/>
      <c r="R243" s="121"/>
      <c r="S243" s="121"/>
      <c r="T243" s="122"/>
      <c r="U243" s="121"/>
      <c r="V243" s="121"/>
      <c r="W243" s="121"/>
      <c r="X243" s="121"/>
      <c r="Y243" s="121"/>
      <c r="Z243" s="121"/>
      <c r="AA243" s="121"/>
    </row>
    <row r="244" spans="2:27">
      <c r="B244" s="37" t="s">
        <v>528</v>
      </c>
      <c r="C244" s="40" t="s">
        <v>92</v>
      </c>
      <c r="D244" s="37" t="s">
        <v>71</v>
      </c>
      <c r="E244" s="39">
        <v>608000</v>
      </c>
      <c r="F244" s="37">
        <v>2012</v>
      </c>
      <c r="G244" s="38" t="s">
        <v>529</v>
      </c>
      <c r="H244" s="37" t="s">
        <v>34</v>
      </c>
      <c r="I244" s="37" t="s">
        <v>34</v>
      </c>
      <c r="J244" s="37" t="s">
        <v>35</v>
      </c>
      <c r="K244" s="37" t="s">
        <v>34</v>
      </c>
      <c r="L244" s="37" t="s">
        <v>269</v>
      </c>
      <c r="O244" s="57"/>
      <c r="P244" s="57"/>
      <c r="Q244" s="57"/>
      <c r="R244" s="121"/>
      <c r="S244" s="121"/>
      <c r="T244" s="122"/>
      <c r="U244" s="121"/>
      <c r="V244" s="121"/>
      <c r="W244" s="121"/>
      <c r="X244" s="121"/>
      <c r="Y244" s="121"/>
      <c r="Z244" s="121"/>
      <c r="AA244" s="121"/>
    </row>
    <row r="245" spans="2:27">
      <c r="B245" s="37" t="s">
        <v>530</v>
      </c>
      <c r="C245" s="40" t="s">
        <v>92</v>
      </c>
      <c r="D245" s="37" t="s">
        <v>71</v>
      </c>
      <c r="E245" s="39">
        <v>565000</v>
      </c>
      <c r="F245" s="37">
        <v>2009</v>
      </c>
      <c r="G245" s="38" t="s">
        <v>531</v>
      </c>
      <c r="H245" s="37" t="s">
        <v>34</v>
      </c>
      <c r="I245" s="37" t="s">
        <v>35</v>
      </c>
      <c r="J245" s="37" t="s">
        <v>34</v>
      </c>
      <c r="K245" s="37" t="s">
        <v>34</v>
      </c>
      <c r="L245" s="37" t="s">
        <v>269</v>
      </c>
      <c r="O245" s="57"/>
      <c r="P245" s="57"/>
      <c r="Q245" s="57"/>
      <c r="R245" s="121"/>
      <c r="S245" s="121"/>
      <c r="T245" s="122"/>
      <c r="U245" s="121"/>
      <c r="V245" s="121"/>
      <c r="W245" s="121"/>
      <c r="X245" s="121"/>
      <c r="Y245" s="121"/>
      <c r="Z245" s="121"/>
      <c r="AA245" s="121"/>
    </row>
    <row r="246" spans="2:27">
      <c r="B246" s="37" t="s">
        <v>532</v>
      </c>
      <c r="C246" s="40" t="s">
        <v>92</v>
      </c>
      <c r="D246" s="37" t="s">
        <v>71</v>
      </c>
      <c r="E246" s="39">
        <v>630000</v>
      </c>
      <c r="F246" s="37">
        <v>2013</v>
      </c>
      <c r="G246" s="38" t="s">
        <v>533</v>
      </c>
      <c r="H246" s="37" t="s">
        <v>34</v>
      </c>
      <c r="I246" s="37" t="s">
        <v>34</v>
      </c>
      <c r="J246" s="37" t="s">
        <v>34</v>
      </c>
      <c r="K246" s="37" t="s">
        <v>34</v>
      </c>
      <c r="L246" s="37" t="s">
        <v>35</v>
      </c>
      <c r="O246" s="57"/>
      <c r="P246" s="57"/>
      <c r="Q246" s="57"/>
      <c r="R246" s="121"/>
      <c r="S246" s="121"/>
      <c r="T246" s="122"/>
      <c r="U246" s="121"/>
      <c r="V246" s="121"/>
      <c r="W246" s="121"/>
      <c r="X246" s="121"/>
      <c r="Y246" s="121"/>
      <c r="Z246" s="121"/>
      <c r="AA246" s="121"/>
    </row>
    <row r="247" spans="2:27">
      <c r="B247" s="37" t="s">
        <v>534</v>
      </c>
      <c r="C247" s="40" t="s">
        <v>92</v>
      </c>
      <c r="D247" s="37" t="s">
        <v>71</v>
      </c>
      <c r="E247" s="39">
        <v>740000</v>
      </c>
      <c r="F247" s="37">
        <v>2013</v>
      </c>
      <c r="G247" s="38" t="s">
        <v>533</v>
      </c>
      <c r="H247" s="37" t="s">
        <v>34</v>
      </c>
      <c r="I247" s="37" t="s">
        <v>34</v>
      </c>
      <c r="J247" s="37" t="s">
        <v>34</v>
      </c>
      <c r="K247" s="37" t="s">
        <v>34</v>
      </c>
      <c r="L247" s="37" t="s">
        <v>35</v>
      </c>
      <c r="O247" s="57"/>
      <c r="P247" s="57"/>
      <c r="Q247" s="57"/>
      <c r="R247" s="121"/>
      <c r="S247" s="121"/>
      <c r="T247" s="122"/>
      <c r="U247" s="121"/>
      <c r="V247" s="121"/>
      <c r="W247" s="121"/>
      <c r="X247" s="121"/>
      <c r="Y247" s="121"/>
      <c r="Z247" s="121"/>
      <c r="AA247" s="121"/>
    </row>
    <row r="248" spans="2:27">
      <c r="B248" s="37" t="s">
        <v>535</v>
      </c>
      <c r="C248" s="40" t="s">
        <v>92</v>
      </c>
      <c r="D248" s="37" t="s">
        <v>71</v>
      </c>
      <c r="E248" s="39">
        <v>680000</v>
      </c>
      <c r="F248" s="37">
        <v>2011</v>
      </c>
      <c r="G248" s="38" t="s">
        <v>536</v>
      </c>
      <c r="H248" s="37" t="s">
        <v>34</v>
      </c>
      <c r="I248" s="37" t="s">
        <v>34</v>
      </c>
      <c r="J248" s="37" t="s">
        <v>35</v>
      </c>
      <c r="K248" s="37" t="s">
        <v>34</v>
      </c>
      <c r="L248" s="37" t="s">
        <v>34</v>
      </c>
      <c r="O248" s="57"/>
      <c r="P248" s="57"/>
      <c r="Q248" s="57"/>
      <c r="R248" s="121"/>
      <c r="S248" s="121"/>
      <c r="T248" s="122"/>
      <c r="U248" s="121"/>
      <c r="V248" s="121"/>
      <c r="W248" s="121"/>
      <c r="X248" s="121"/>
      <c r="Y248" s="121"/>
      <c r="Z248" s="121"/>
      <c r="AA248" s="121"/>
    </row>
    <row r="249" spans="2:27">
      <c r="B249" s="37" t="s">
        <v>537</v>
      </c>
      <c r="C249" s="40" t="s">
        <v>92</v>
      </c>
      <c r="D249" s="37" t="s">
        <v>71</v>
      </c>
      <c r="E249" s="39">
        <v>580000</v>
      </c>
      <c r="F249" s="37">
        <v>2012</v>
      </c>
      <c r="G249" s="38" t="s">
        <v>123</v>
      </c>
      <c r="H249" s="37" t="s">
        <v>34</v>
      </c>
      <c r="I249" s="37" t="s">
        <v>34</v>
      </c>
      <c r="J249" s="37" t="s">
        <v>35</v>
      </c>
      <c r="K249" s="37" t="s">
        <v>34</v>
      </c>
      <c r="L249" s="37" t="s">
        <v>269</v>
      </c>
      <c r="O249" s="57"/>
      <c r="P249" s="57"/>
      <c r="Q249" s="57"/>
      <c r="R249" s="121"/>
      <c r="S249" s="121"/>
      <c r="T249" s="122"/>
      <c r="U249" s="121"/>
      <c r="V249" s="121"/>
      <c r="W249" s="121"/>
      <c r="X249" s="121"/>
      <c r="Y249" s="121"/>
      <c r="Z249" s="121"/>
      <c r="AA249" s="121"/>
    </row>
    <row r="250" spans="2:27">
      <c r="B250" s="37" t="s">
        <v>538</v>
      </c>
      <c r="C250" s="40" t="s">
        <v>92</v>
      </c>
      <c r="D250" s="37" t="s">
        <v>71</v>
      </c>
      <c r="E250" s="39">
        <v>662000</v>
      </c>
      <c r="F250" s="37">
        <v>2014</v>
      </c>
      <c r="G250" s="38" t="s">
        <v>539</v>
      </c>
      <c r="H250" s="37" t="s">
        <v>34</v>
      </c>
      <c r="I250" s="37" t="s">
        <v>34</v>
      </c>
      <c r="J250" s="37" t="s">
        <v>35</v>
      </c>
      <c r="K250" s="37" t="s">
        <v>34</v>
      </c>
      <c r="L250" s="37" t="s">
        <v>34</v>
      </c>
      <c r="O250" s="57"/>
      <c r="P250" s="57"/>
      <c r="Q250" s="57"/>
      <c r="R250" s="121"/>
      <c r="S250" s="121"/>
      <c r="T250" s="122"/>
      <c r="U250" s="121"/>
      <c r="V250" s="121"/>
      <c r="W250" s="121"/>
      <c r="X250" s="121"/>
      <c r="Y250" s="121"/>
      <c r="Z250" s="121"/>
      <c r="AA250" s="121"/>
    </row>
    <row r="251" spans="2:27">
      <c r="B251" s="37" t="s">
        <v>540</v>
      </c>
      <c r="C251" s="40" t="s">
        <v>92</v>
      </c>
      <c r="D251" s="37" t="s">
        <v>71</v>
      </c>
      <c r="E251" s="39">
        <v>600000</v>
      </c>
      <c r="F251" s="37">
        <v>2017</v>
      </c>
      <c r="G251" s="38" t="s">
        <v>341</v>
      </c>
      <c r="H251" s="37" t="s">
        <v>34</v>
      </c>
      <c r="I251" s="37" t="s">
        <v>34</v>
      </c>
      <c r="J251" s="37" t="s">
        <v>34</v>
      </c>
      <c r="K251" s="37" t="s">
        <v>34</v>
      </c>
      <c r="L251" s="37" t="s">
        <v>34</v>
      </c>
      <c r="O251" s="57"/>
      <c r="P251" s="57"/>
      <c r="Q251" s="57"/>
      <c r="R251" s="121"/>
      <c r="S251" s="121"/>
      <c r="T251" s="122"/>
      <c r="U251" s="121"/>
      <c r="V251" s="121"/>
      <c r="W251" s="121"/>
      <c r="X251" s="121"/>
      <c r="Y251" s="121"/>
      <c r="Z251" s="121"/>
      <c r="AA251" s="121"/>
    </row>
    <row r="252" spans="2:27">
      <c r="B252" s="37" t="s">
        <v>541</v>
      </c>
      <c r="C252" s="40" t="s">
        <v>92</v>
      </c>
      <c r="D252" s="37" t="s">
        <v>71</v>
      </c>
      <c r="E252" s="39">
        <v>630000</v>
      </c>
      <c r="F252" s="37">
        <v>2020</v>
      </c>
      <c r="G252" s="38" t="s">
        <v>41</v>
      </c>
      <c r="H252" s="37" t="s">
        <v>34</v>
      </c>
      <c r="I252" s="37" t="s">
        <v>35</v>
      </c>
      <c r="J252" s="37" t="s">
        <v>35</v>
      </c>
      <c r="K252" s="37" t="s">
        <v>34</v>
      </c>
      <c r="L252" s="37" t="s">
        <v>269</v>
      </c>
      <c r="O252" s="57"/>
      <c r="P252" s="57"/>
      <c r="Q252" s="57"/>
      <c r="R252" s="121"/>
      <c r="S252" s="121"/>
      <c r="T252" s="122"/>
      <c r="U252" s="121"/>
      <c r="V252" s="121"/>
      <c r="W252" s="121"/>
      <c r="X252" s="121"/>
      <c r="Y252" s="121"/>
      <c r="Z252" s="121"/>
      <c r="AA252" s="121"/>
    </row>
    <row r="253" spans="2:27">
      <c r="B253" s="37" t="s">
        <v>542</v>
      </c>
      <c r="C253" s="40" t="s">
        <v>92</v>
      </c>
      <c r="D253" s="37" t="s">
        <v>14</v>
      </c>
      <c r="E253" s="39">
        <v>580000</v>
      </c>
      <c r="F253" s="37">
        <v>2003</v>
      </c>
      <c r="G253" s="38" t="s">
        <v>543</v>
      </c>
      <c r="H253" s="37" t="s">
        <v>34</v>
      </c>
      <c r="I253" s="37" t="s">
        <v>34</v>
      </c>
      <c r="J253" s="37" t="s">
        <v>34</v>
      </c>
      <c r="K253" s="37" t="s">
        <v>34</v>
      </c>
      <c r="L253" s="37" t="s">
        <v>269</v>
      </c>
      <c r="O253" s="58"/>
      <c r="P253" s="57"/>
      <c r="Q253" s="57"/>
      <c r="R253" s="121"/>
      <c r="S253" s="121"/>
      <c r="T253" s="122"/>
      <c r="U253" s="121"/>
      <c r="V253" s="121"/>
      <c r="W253" s="121"/>
      <c r="X253" s="121"/>
      <c r="Y253" s="121"/>
      <c r="Z253" s="121"/>
      <c r="AA253" s="121"/>
    </row>
    <row r="254" spans="2:27">
      <c r="B254" s="37" t="s">
        <v>544</v>
      </c>
      <c r="C254" s="40" t="s">
        <v>92</v>
      </c>
      <c r="D254" s="37" t="s">
        <v>14</v>
      </c>
      <c r="E254" s="39">
        <v>620000</v>
      </c>
      <c r="F254" s="37">
        <v>2003</v>
      </c>
      <c r="G254" s="38" t="s">
        <v>334</v>
      </c>
      <c r="H254" s="37" t="s">
        <v>34</v>
      </c>
      <c r="I254" s="38" t="s">
        <v>35</v>
      </c>
      <c r="J254" s="38" t="s">
        <v>35</v>
      </c>
      <c r="K254" s="38" t="s">
        <v>34</v>
      </c>
      <c r="L254" s="38" t="s">
        <v>269</v>
      </c>
      <c r="O254" s="58"/>
      <c r="P254" s="57"/>
      <c r="Q254" s="57"/>
      <c r="R254" s="121"/>
      <c r="S254" s="121"/>
      <c r="T254" s="122"/>
      <c r="U254" s="121"/>
      <c r="V254" s="121"/>
      <c r="W254" s="121"/>
      <c r="X254" s="121"/>
      <c r="Y254" s="121"/>
      <c r="Z254" s="121"/>
      <c r="AA254" s="121"/>
    </row>
    <row r="255" spans="2:27">
      <c r="B255" s="37" t="s">
        <v>545</v>
      </c>
      <c r="C255" s="40" t="s">
        <v>92</v>
      </c>
      <c r="D255" s="37" t="s">
        <v>14</v>
      </c>
      <c r="E255" s="39">
        <v>600000</v>
      </c>
      <c r="F255" s="37">
        <v>2004</v>
      </c>
      <c r="G255" s="38" t="s">
        <v>546</v>
      </c>
      <c r="H255" s="37" t="s">
        <v>34</v>
      </c>
      <c r="I255" s="38" t="s">
        <v>35</v>
      </c>
      <c r="J255" s="38" t="s">
        <v>35</v>
      </c>
      <c r="K255" s="38" t="s">
        <v>34</v>
      </c>
      <c r="L255" s="38" t="s">
        <v>269</v>
      </c>
      <c r="O255" s="58"/>
      <c r="P255" s="57"/>
      <c r="Q255" s="57"/>
      <c r="R255" s="121"/>
      <c r="S255" s="121"/>
      <c r="T255" s="122"/>
      <c r="U255" s="121"/>
      <c r="V255" s="121"/>
      <c r="W255" s="121"/>
      <c r="X255" s="121"/>
      <c r="Y255" s="121"/>
      <c r="Z255" s="121"/>
      <c r="AA255" s="121"/>
    </row>
    <row r="256" spans="2:27">
      <c r="B256" s="37" t="s">
        <v>547</v>
      </c>
      <c r="C256" s="40" t="s">
        <v>92</v>
      </c>
      <c r="D256" s="37" t="s">
        <v>14</v>
      </c>
      <c r="E256" s="39">
        <v>570000</v>
      </c>
      <c r="F256" s="37">
        <v>2003</v>
      </c>
      <c r="G256" s="38" t="s">
        <v>548</v>
      </c>
      <c r="H256" s="37" t="s">
        <v>34</v>
      </c>
      <c r="I256" s="38" t="s">
        <v>35</v>
      </c>
      <c r="J256" s="38" t="s">
        <v>35</v>
      </c>
      <c r="K256" s="38" t="s">
        <v>34</v>
      </c>
      <c r="L256" s="38" t="s">
        <v>269</v>
      </c>
      <c r="O256" s="58"/>
      <c r="P256" s="57"/>
      <c r="Q256" s="57"/>
      <c r="R256" s="121"/>
      <c r="S256" s="121"/>
      <c r="T256" s="122"/>
      <c r="U256" s="121"/>
      <c r="V256" s="121"/>
      <c r="W256" s="121"/>
      <c r="X256" s="121"/>
      <c r="Y256" s="121"/>
      <c r="Z256" s="121"/>
      <c r="AA256" s="121"/>
    </row>
    <row r="257" spans="2:27">
      <c r="B257" s="37" t="s">
        <v>549</v>
      </c>
      <c r="C257" s="40" t="s">
        <v>92</v>
      </c>
      <c r="D257" s="37" t="s">
        <v>14</v>
      </c>
      <c r="E257" s="39">
        <v>685000</v>
      </c>
      <c r="F257" s="37">
        <v>2016</v>
      </c>
      <c r="G257" s="38" t="s">
        <v>550</v>
      </c>
      <c r="H257" s="37" t="s">
        <v>34</v>
      </c>
      <c r="I257" s="37" t="s">
        <v>34</v>
      </c>
      <c r="J257" s="37" t="s">
        <v>34</v>
      </c>
      <c r="K257" s="37" t="s">
        <v>34</v>
      </c>
      <c r="L257" s="37" t="s">
        <v>34</v>
      </c>
      <c r="O257" s="58"/>
      <c r="P257" s="57"/>
      <c r="Q257" s="57"/>
      <c r="R257" s="121"/>
      <c r="S257" s="121"/>
      <c r="T257" s="122"/>
      <c r="U257" s="121"/>
      <c r="V257" s="121"/>
      <c r="W257" s="121"/>
      <c r="X257" s="121"/>
      <c r="Y257" s="121"/>
      <c r="Z257" s="121"/>
      <c r="AA257" s="121"/>
    </row>
    <row r="258" spans="2:27">
      <c r="B258" s="37" t="s">
        <v>526</v>
      </c>
      <c r="C258" s="40" t="s">
        <v>92</v>
      </c>
      <c r="D258" s="37" t="s">
        <v>14</v>
      </c>
      <c r="E258" s="39">
        <v>878000</v>
      </c>
      <c r="F258" s="37">
        <v>2019</v>
      </c>
      <c r="G258" s="38" t="s">
        <v>218</v>
      </c>
      <c r="H258" s="37" t="s">
        <v>34</v>
      </c>
      <c r="I258" s="37" t="s">
        <v>34</v>
      </c>
      <c r="J258" s="37" t="s">
        <v>34</v>
      </c>
      <c r="K258" s="37" t="s">
        <v>34</v>
      </c>
      <c r="L258" s="37" t="s">
        <v>34</v>
      </c>
      <c r="O258" s="58"/>
      <c r="P258" s="57"/>
      <c r="Q258" s="57"/>
      <c r="R258" s="121"/>
      <c r="S258" s="121"/>
      <c r="T258" s="122"/>
      <c r="U258" s="121"/>
      <c r="V258" s="121"/>
      <c r="W258" s="121"/>
      <c r="X258" s="121"/>
      <c r="Y258" s="121"/>
      <c r="Z258" s="121"/>
      <c r="AA258" s="121"/>
    </row>
    <row r="259" spans="2:27">
      <c r="B259" s="37" t="s">
        <v>551</v>
      </c>
      <c r="C259" s="32" t="s">
        <v>102</v>
      </c>
      <c r="D259" s="37" t="s">
        <v>31</v>
      </c>
      <c r="E259" s="39">
        <v>285000</v>
      </c>
      <c r="F259" s="37">
        <v>1967</v>
      </c>
      <c r="G259" s="38" t="s">
        <v>552</v>
      </c>
      <c r="H259" s="37" t="s">
        <v>34</v>
      </c>
      <c r="I259" s="37" t="s">
        <v>35</v>
      </c>
      <c r="J259" s="37" t="s">
        <v>35</v>
      </c>
      <c r="K259" s="37" t="s">
        <v>34</v>
      </c>
      <c r="L259" s="37" t="s">
        <v>34</v>
      </c>
      <c r="O259" s="58"/>
      <c r="P259" s="57"/>
      <c r="Q259" s="57"/>
      <c r="R259" s="121"/>
      <c r="S259" s="121"/>
      <c r="T259" s="122"/>
      <c r="U259" s="121"/>
      <c r="V259" s="121"/>
      <c r="W259" s="121"/>
      <c r="X259" s="121"/>
      <c r="Y259" s="121"/>
      <c r="Z259" s="121"/>
      <c r="AA259" s="121"/>
    </row>
    <row r="260" spans="2:27">
      <c r="B260" s="37" t="s">
        <v>553</v>
      </c>
      <c r="C260" s="32" t="s">
        <v>102</v>
      </c>
      <c r="D260" s="37" t="s">
        <v>82</v>
      </c>
      <c r="E260" s="39">
        <v>625000</v>
      </c>
      <c r="F260" s="37">
        <v>2013</v>
      </c>
      <c r="G260" s="38" t="s">
        <v>554</v>
      </c>
      <c r="H260" s="37" t="s">
        <v>34</v>
      </c>
      <c r="I260" s="37" t="s">
        <v>34</v>
      </c>
      <c r="J260" s="37" t="s">
        <v>34</v>
      </c>
      <c r="K260" s="37" t="s">
        <v>34</v>
      </c>
      <c r="L260" s="37" t="s">
        <v>35</v>
      </c>
      <c r="O260" s="58"/>
      <c r="P260" s="57"/>
      <c r="Q260" s="57"/>
      <c r="R260" s="121"/>
      <c r="S260" s="121"/>
      <c r="T260" s="122"/>
      <c r="U260" s="121"/>
      <c r="V260" s="121"/>
      <c r="W260" s="121"/>
      <c r="X260" s="121"/>
      <c r="Y260" s="121"/>
      <c r="Z260" s="121"/>
      <c r="AA260" s="121"/>
    </row>
    <row r="261" spans="2:27">
      <c r="B261" s="37" t="s">
        <v>555</v>
      </c>
      <c r="C261" s="32" t="s">
        <v>102</v>
      </c>
      <c r="D261" s="37" t="s">
        <v>82</v>
      </c>
      <c r="E261" s="39">
        <v>485000</v>
      </c>
      <c r="F261" s="37">
        <v>1974</v>
      </c>
      <c r="G261" s="38" t="s">
        <v>556</v>
      </c>
      <c r="H261" s="37" t="s">
        <v>34</v>
      </c>
      <c r="I261" s="37" t="s">
        <v>34</v>
      </c>
      <c r="J261" s="37" t="s">
        <v>34</v>
      </c>
      <c r="K261" s="37" t="s">
        <v>34</v>
      </c>
      <c r="L261" s="37" t="s">
        <v>34</v>
      </c>
      <c r="O261" s="58"/>
      <c r="P261" s="57"/>
      <c r="Q261" s="57"/>
      <c r="R261" s="121"/>
      <c r="S261" s="121"/>
      <c r="T261" s="122"/>
      <c r="U261" s="121"/>
      <c r="V261" s="121"/>
      <c r="W261" s="121"/>
      <c r="X261" s="121"/>
      <c r="Y261" s="121"/>
      <c r="Z261" s="121"/>
      <c r="AA261" s="121"/>
    </row>
    <row r="262" spans="2:27">
      <c r="B262" s="37" t="s">
        <v>557</v>
      </c>
      <c r="C262" s="32" t="s">
        <v>102</v>
      </c>
      <c r="D262" s="37" t="s">
        <v>71</v>
      </c>
      <c r="E262" s="39">
        <v>670000</v>
      </c>
      <c r="F262" s="37">
        <v>2003</v>
      </c>
      <c r="G262" s="38" t="s">
        <v>558</v>
      </c>
      <c r="H262" s="37" t="s">
        <v>35</v>
      </c>
      <c r="I262" s="37" t="s">
        <v>34</v>
      </c>
      <c r="J262" s="37" t="s">
        <v>34</v>
      </c>
      <c r="K262" s="37" t="s">
        <v>34</v>
      </c>
      <c r="L262" s="37" t="s">
        <v>34</v>
      </c>
      <c r="O262" s="58"/>
      <c r="P262" s="57"/>
      <c r="Q262" s="57"/>
      <c r="R262" s="121"/>
      <c r="S262" s="121"/>
      <c r="T262" s="122"/>
      <c r="U262" s="121"/>
      <c r="V262" s="121"/>
      <c r="W262" s="121"/>
      <c r="X262" s="121"/>
      <c r="Y262" s="121"/>
      <c r="Z262" s="121"/>
      <c r="AA262" s="121"/>
    </row>
    <row r="263" spans="2:27">
      <c r="B263" s="37" t="s">
        <v>559</v>
      </c>
      <c r="C263" s="32" t="s">
        <v>102</v>
      </c>
      <c r="D263" s="37" t="s">
        <v>71</v>
      </c>
      <c r="E263" s="39">
        <v>1100000</v>
      </c>
      <c r="F263" s="37">
        <v>2018</v>
      </c>
      <c r="G263" s="38" t="s">
        <v>560</v>
      </c>
      <c r="H263" s="37" t="s">
        <v>34</v>
      </c>
      <c r="I263" s="37" t="s">
        <v>34</v>
      </c>
      <c r="J263" s="37" t="s">
        <v>34</v>
      </c>
      <c r="K263" s="37" t="s">
        <v>34</v>
      </c>
      <c r="L263" s="37" t="s">
        <v>35</v>
      </c>
      <c r="O263" s="58"/>
      <c r="P263" s="57"/>
      <c r="Q263" s="57"/>
      <c r="R263" s="121"/>
      <c r="S263" s="121"/>
      <c r="T263" s="122"/>
      <c r="U263" s="121"/>
      <c r="V263" s="121"/>
      <c r="W263" s="121"/>
      <c r="X263" s="121"/>
      <c r="Y263" s="121"/>
      <c r="Z263" s="121"/>
      <c r="AA263" s="121"/>
    </row>
    <row r="264" spans="2:27">
      <c r="B264" s="37" t="s">
        <v>561</v>
      </c>
      <c r="C264" s="32" t="s">
        <v>102</v>
      </c>
      <c r="D264" s="37" t="s">
        <v>71</v>
      </c>
      <c r="E264" s="39">
        <v>590000</v>
      </c>
      <c r="F264" s="37">
        <v>1975</v>
      </c>
      <c r="G264" s="38" t="s">
        <v>492</v>
      </c>
      <c r="H264" s="37" t="s">
        <v>35</v>
      </c>
      <c r="I264" s="37" t="s">
        <v>34</v>
      </c>
      <c r="J264" s="37" t="s">
        <v>34</v>
      </c>
      <c r="K264" s="37" t="s">
        <v>34</v>
      </c>
      <c r="L264" s="37" t="s">
        <v>34</v>
      </c>
      <c r="O264" s="58"/>
      <c r="P264" s="57"/>
      <c r="Q264" s="57"/>
      <c r="R264" s="121"/>
      <c r="S264" s="121"/>
      <c r="T264" s="122"/>
      <c r="U264" s="121"/>
      <c r="V264" s="121"/>
      <c r="W264" s="121"/>
      <c r="X264" s="121"/>
      <c r="Y264" s="121"/>
      <c r="Z264" s="121"/>
      <c r="AA264" s="121"/>
    </row>
    <row r="265" spans="2:27">
      <c r="B265" s="37" t="s">
        <v>562</v>
      </c>
      <c r="C265" s="32" t="s">
        <v>102</v>
      </c>
      <c r="D265" s="37" t="s">
        <v>71</v>
      </c>
      <c r="E265" s="39">
        <v>780000</v>
      </c>
      <c r="F265" s="37">
        <v>2002</v>
      </c>
      <c r="G265" s="38" t="s">
        <v>563</v>
      </c>
      <c r="H265" s="37" t="s">
        <v>34</v>
      </c>
      <c r="I265" s="37" t="s">
        <v>35</v>
      </c>
      <c r="J265" s="37" t="s">
        <v>35</v>
      </c>
      <c r="K265" s="37" t="s">
        <v>34</v>
      </c>
      <c r="L265" s="37" t="s">
        <v>34</v>
      </c>
      <c r="O265" s="58"/>
      <c r="P265" s="57"/>
      <c r="Q265" s="57"/>
      <c r="R265" s="121"/>
      <c r="S265" s="121"/>
      <c r="T265" s="122"/>
      <c r="U265" s="121"/>
      <c r="V265" s="121"/>
      <c r="W265" s="121"/>
      <c r="X265" s="121"/>
      <c r="Y265" s="121"/>
      <c r="Z265" s="121"/>
      <c r="AA265" s="121"/>
    </row>
    <row r="266" spans="2:27">
      <c r="B266" s="37" t="s">
        <v>564</v>
      </c>
      <c r="C266" s="32" t="s">
        <v>102</v>
      </c>
      <c r="D266" s="37" t="s">
        <v>14</v>
      </c>
      <c r="E266" s="39">
        <v>840000</v>
      </c>
      <c r="F266" s="37">
        <v>1978</v>
      </c>
      <c r="G266" s="38" t="s">
        <v>351</v>
      </c>
      <c r="H266" s="37" t="s">
        <v>35</v>
      </c>
      <c r="I266" s="37" t="s">
        <v>34</v>
      </c>
      <c r="J266" s="37" t="s">
        <v>34</v>
      </c>
      <c r="K266" s="37" t="s">
        <v>34</v>
      </c>
      <c r="L266" s="37" t="s">
        <v>34</v>
      </c>
      <c r="O266" s="58"/>
      <c r="P266" s="57"/>
      <c r="Q266" s="57"/>
      <c r="R266" s="121"/>
      <c r="S266" s="121"/>
      <c r="T266" s="122"/>
      <c r="U266" s="121"/>
      <c r="V266" s="121"/>
      <c r="W266" s="121"/>
      <c r="X266" s="121"/>
      <c r="Y266" s="121"/>
      <c r="Z266" s="121"/>
      <c r="AA266" s="121"/>
    </row>
    <row r="267" spans="2:27">
      <c r="B267" s="37" t="s">
        <v>565</v>
      </c>
      <c r="C267" s="40" t="s">
        <v>566</v>
      </c>
      <c r="D267" s="37" t="s">
        <v>31</v>
      </c>
      <c r="E267" s="39">
        <v>355000</v>
      </c>
      <c r="F267" s="37">
        <v>2018</v>
      </c>
      <c r="G267" s="38" t="s">
        <v>567</v>
      </c>
      <c r="H267" s="37" t="s">
        <v>35</v>
      </c>
      <c r="I267" s="37" t="s">
        <v>34</v>
      </c>
      <c r="J267" s="37" t="s">
        <v>34</v>
      </c>
      <c r="K267" s="37" t="s">
        <v>34</v>
      </c>
      <c r="L267" s="37" t="s">
        <v>34</v>
      </c>
      <c r="O267" s="58"/>
      <c r="P267" s="57"/>
      <c r="Q267" s="57"/>
      <c r="R267" s="121"/>
      <c r="S267" s="121"/>
      <c r="T267" s="122"/>
      <c r="U267" s="121"/>
      <c r="V267" s="121"/>
      <c r="W267" s="121"/>
      <c r="X267" s="121"/>
      <c r="Y267" s="121"/>
      <c r="Z267" s="121"/>
      <c r="AA267" s="121"/>
    </row>
    <row r="268" spans="2:27">
      <c r="B268" s="37" t="s">
        <v>568</v>
      </c>
      <c r="C268" s="40" t="s">
        <v>566</v>
      </c>
      <c r="D268" s="37" t="s">
        <v>31</v>
      </c>
      <c r="E268" s="39">
        <v>325000</v>
      </c>
      <c r="F268" s="37">
        <v>2015</v>
      </c>
      <c r="G268" s="38" t="s">
        <v>500</v>
      </c>
      <c r="H268" s="37" t="s">
        <v>34</v>
      </c>
      <c r="I268" s="37" t="s">
        <v>34</v>
      </c>
      <c r="J268" s="37" t="s">
        <v>35</v>
      </c>
      <c r="K268" s="37" t="s">
        <v>34</v>
      </c>
      <c r="L268" s="37" t="s">
        <v>34</v>
      </c>
      <c r="O268" s="58"/>
      <c r="P268" s="57"/>
      <c r="Q268" s="57"/>
      <c r="R268" s="121"/>
      <c r="S268" s="121"/>
      <c r="T268" s="122"/>
      <c r="U268" s="121"/>
      <c r="V268" s="121"/>
      <c r="W268" s="121"/>
      <c r="X268" s="121"/>
      <c r="Y268" s="121"/>
      <c r="Z268" s="121"/>
      <c r="AA268" s="121"/>
    </row>
    <row r="269" spans="2:27">
      <c r="B269" s="37" t="s">
        <v>569</v>
      </c>
      <c r="C269" s="40" t="s">
        <v>566</v>
      </c>
      <c r="D269" s="37" t="s">
        <v>31</v>
      </c>
      <c r="E269" s="39">
        <v>340000</v>
      </c>
      <c r="F269" s="37">
        <v>2019</v>
      </c>
      <c r="G269" s="38" t="s">
        <v>241</v>
      </c>
      <c r="H269" s="37" t="s">
        <v>34</v>
      </c>
      <c r="I269" s="37" t="s">
        <v>34</v>
      </c>
      <c r="J269" s="37" t="s">
        <v>34</v>
      </c>
      <c r="K269" s="37" t="s">
        <v>34</v>
      </c>
      <c r="L269" s="37" t="s">
        <v>34</v>
      </c>
      <c r="O269" s="58"/>
      <c r="P269" s="57"/>
      <c r="Q269" s="57"/>
      <c r="R269" s="121"/>
      <c r="S269" s="121"/>
      <c r="T269" s="122"/>
      <c r="U269" s="121"/>
      <c r="V269" s="121"/>
      <c r="W269" s="121"/>
      <c r="X269" s="121"/>
      <c r="Y269" s="121"/>
      <c r="Z269" s="121"/>
      <c r="AA269" s="121"/>
    </row>
    <row r="270" spans="2:27">
      <c r="B270" s="37" t="s">
        <v>570</v>
      </c>
      <c r="C270" s="40" t="s">
        <v>566</v>
      </c>
      <c r="D270" s="37" t="s">
        <v>71</v>
      </c>
      <c r="E270" s="39">
        <v>518000</v>
      </c>
      <c r="F270" s="37">
        <v>2001</v>
      </c>
      <c r="G270" s="38" t="s">
        <v>571</v>
      </c>
      <c r="H270" s="37" t="s">
        <v>34</v>
      </c>
      <c r="I270" s="37" t="s">
        <v>34</v>
      </c>
      <c r="J270" s="37" t="s">
        <v>35</v>
      </c>
      <c r="K270" s="37" t="s">
        <v>34</v>
      </c>
      <c r="L270" s="37" t="s">
        <v>34</v>
      </c>
      <c r="O270" s="58"/>
      <c r="P270" s="57"/>
      <c r="Q270" s="57"/>
      <c r="R270" s="121"/>
      <c r="S270" s="121"/>
      <c r="T270" s="122"/>
      <c r="U270" s="121"/>
      <c r="V270" s="121"/>
      <c r="W270" s="121"/>
      <c r="X270" s="121"/>
      <c r="Y270" s="121"/>
      <c r="Z270" s="121"/>
      <c r="AA270" s="121"/>
    </row>
    <row r="271" spans="2:27">
      <c r="B271" s="37" t="s">
        <v>572</v>
      </c>
      <c r="C271" s="40" t="s">
        <v>566</v>
      </c>
      <c r="D271" s="37" t="s">
        <v>71</v>
      </c>
      <c r="E271" s="39">
        <v>528000</v>
      </c>
      <c r="F271" s="37">
        <v>2001</v>
      </c>
      <c r="G271" s="38" t="s">
        <v>573</v>
      </c>
      <c r="H271" s="37" t="s">
        <v>34</v>
      </c>
      <c r="I271" s="37" t="s">
        <v>34</v>
      </c>
      <c r="J271" s="37" t="s">
        <v>35</v>
      </c>
      <c r="K271" s="37" t="s">
        <v>34</v>
      </c>
      <c r="L271" s="37" t="s">
        <v>34</v>
      </c>
      <c r="O271" s="58"/>
      <c r="P271" s="57"/>
      <c r="Q271" s="57"/>
      <c r="R271" s="121"/>
      <c r="S271" s="121"/>
      <c r="T271" s="122"/>
      <c r="U271" s="121"/>
      <c r="V271" s="121"/>
      <c r="W271" s="121"/>
      <c r="X271" s="121"/>
      <c r="Y271" s="121"/>
      <c r="Z271" s="121"/>
      <c r="AA271" s="121"/>
    </row>
    <row r="272" spans="2:27">
      <c r="B272" s="37" t="s">
        <v>574</v>
      </c>
      <c r="C272" s="40" t="s">
        <v>566</v>
      </c>
      <c r="D272" s="37" t="s">
        <v>71</v>
      </c>
      <c r="E272" s="39">
        <v>478000</v>
      </c>
      <c r="F272" s="37">
        <v>2003</v>
      </c>
      <c r="G272" s="38" t="s">
        <v>379</v>
      </c>
      <c r="H272" s="37" t="s">
        <v>34</v>
      </c>
      <c r="I272" s="37" t="s">
        <v>35</v>
      </c>
      <c r="J272" s="37" t="s">
        <v>35</v>
      </c>
      <c r="K272" s="37" t="s">
        <v>34</v>
      </c>
      <c r="L272" s="37" t="s">
        <v>35</v>
      </c>
      <c r="O272" s="58"/>
      <c r="P272" s="57"/>
      <c r="Q272" s="57"/>
      <c r="R272" s="121"/>
      <c r="S272" s="121"/>
      <c r="T272" s="122"/>
      <c r="U272" s="121"/>
      <c r="V272" s="121"/>
      <c r="W272" s="121"/>
      <c r="X272" s="121"/>
      <c r="Y272" s="121"/>
      <c r="Z272" s="121"/>
      <c r="AA272" s="121"/>
    </row>
    <row r="273" spans="2:27">
      <c r="B273" s="37" t="s">
        <v>575</v>
      </c>
      <c r="C273" s="40" t="s">
        <v>566</v>
      </c>
      <c r="D273" s="37" t="s">
        <v>71</v>
      </c>
      <c r="E273" s="39">
        <v>555000</v>
      </c>
      <c r="F273" s="37">
        <v>2001</v>
      </c>
      <c r="G273" s="38" t="s">
        <v>576</v>
      </c>
      <c r="H273" s="37" t="s">
        <v>34</v>
      </c>
      <c r="I273" s="37" t="s">
        <v>34</v>
      </c>
      <c r="J273" s="37" t="s">
        <v>34</v>
      </c>
      <c r="K273" s="37" t="s">
        <v>34</v>
      </c>
      <c r="L273" s="37" t="s">
        <v>34</v>
      </c>
      <c r="O273" s="58"/>
      <c r="P273" s="57"/>
      <c r="Q273" s="57"/>
      <c r="R273" s="121"/>
      <c r="S273" s="121"/>
      <c r="T273" s="122"/>
      <c r="U273" s="121"/>
      <c r="V273" s="121"/>
      <c r="W273" s="121"/>
      <c r="X273" s="121"/>
      <c r="Y273" s="121"/>
      <c r="Z273" s="121"/>
      <c r="AA273" s="121"/>
    </row>
    <row r="274" spans="2:27">
      <c r="B274" s="37" t="s">
        <v>577</v>
      </c>
      <c r="C274" s="40" t="s">
        <v>566</v>
      </c>
      <c r="D274" s="37" t="s">
        <v>71</v>
      </c>
      <c r="E274" s="39">
        <v>600000</v>
      </c>
      <c r="F274" s="37">
        <v>2018</v>
      </c>
      <c r="G274" s="38" t="s">
        <v>518</v>
      </c>
      <c r="H274" s="37" t="s">
        <v>35</v>
      </c>
      <c r="I274" s="37" t="s">
        <v>35</v>
      </c>
      <c r="J274" s="37" t="s">
        <v>34</v>
      </c>
      <c r="K274" s="37" t="s">
        <v>34</v>
      </c>
      <c r="L274" s="37" t="s">
        <v>35</v>
      </c>
      <c r="O274" s="58"/>
      <c r="P274" s="57"/>
      <c r="Q274" s="57"/>
      <c r="R274" s="121"/>
      <c r="S274" s="121"/>
      <c r="T274" s="122"/>
      <c r="U274" s="121"/>
      <c r="V274" s="121"/>
      <c r="W274" s="121"/>
      <c r="X274" s="121"/>
      <c r="Y274" s="121"/>
      <c r="Z274" s="121"/>
      <c r="AA274" s="121"/>
    </row>
    <row r="275" spans="2:27">
      <c r="B275" s="37" t="s">
        <v>578</v>
      </c>
      <c r="C275" s="40" t="s">
        <v>566</v>
      </c>
      <c r="D275" s="37" t="s">
        <v>71</v>
      </c>
      <c r="E275" s="39">
        <v>600000</v>
      </c>
      <c r="F275" s="37">
        <v>2018</v>
      </c>
      <c r="G275" s="38" t="s">
        <v>518</v>
      </c>
      <c r="H275" s="37" t="s">
        <v>35</v>
      </c>
      <c r="I275" s="37" t="s">
        <v>35</v>
      </c>
      <c r="J275" s="37" t="s">
        <v>34</v>
      </c>
      <c r="K275" s="37" t="s">
        <v>34</v>
      </c>
      <c r="L275" s="37" t="s">
        <v>35</v>
      </c>
      <c r="O275" s="58"/>
      <c r="P275" s="57"/>
      <c r="Q275" s="57"/>
      <c r="R275" s="121"/>
      <c r="S275" s="121"/>
      <c r="T275" s="122"/>
      <c r="U275" s="121"/>
      <c r="V275" s="121"/>
      <c r="W275" s="121"/>
      <c r="X275" s="121"/>
      <c r="Y275" s="121"/>
      <c r="Z275" s="121"/>
      <c r="AA275" s="121"/>
    </row>
    <row r="276" spans="2:27">
      <c r="B276" s="37" t="s">
        <v>579</v>
      </c>
      <c r="C276" s="40" t="s">
        <v>566</v>
      </c>
      <c r="D276" s="37" t="s">
        <v>71</v>
      </c>
      <c r="E276" s="39">
        <v>550888</v>
      </c>
      <c r="F276" s="37">
        <v>1999</v>
      </c>
      <c r="G276" s="38" t="s">
        <v>288</v>
      </c>
      <c r="H276" s="37" t="s">
        <v>34</v>
      </c>
      <c r="I276" s="37" t="s">
        <v>34</v>
      </c>
      <c r="J276" s="37" t="s">
        <v>34</v>
      </c>
      <c r="K276" s="37" t="s">
        <v>34</v>
      </c>
      <c r="L276" s="37" t="s">
        <v>34</v>
      </c>
      <c r="O276" s="58"/>
      <c r="P276" s="57"/>
      <c r="Q276" s="57"/>
      <c r="R276" s="121"/>
      <c r="S276" s="121"/>
      <c r="T276" s="122"/>
      <c r="U276" s="121"/>
      <c r="V276" s="121"/>
      <c r="W276" s="121"/>
      <c r="X276" s="121"/>
      <c r="Y276" s="121"/>
      <c r="Z276" s="121"/>
      <c r="AA276" s="121"/>
    </row>
    <row r="277" spans="2:27">
      <c r="B277" s="37" t="s">
        <v>580</v>
      </c>
      <c r="C277" s="40" t="s">
        <v>566</v>
      </c>
      <c r="D277" s="37" t="s">
        <v>71</v>
      </c>
      <c r="E277" s="39">
        <v>565000</v>
      </c>
      <c r="F277" s="37">
        <v>2019</v>
      </c>
      <c r="G277" s="38" t="s">
        <v>207</v>
      </c>
      <c r="H277" s="37" t="s">
        <v>34</v>
      </c>
      <c r="I277" s="37" t="s">
        <v>34</v>
      </c>
      <c r="J277" s="37" t="s">
        <v>34</v>
      </c>
      <c r="K277" s="37" t="s">
        <v>34</v>
      </c>
      <c r="L277" s="37" t="s">
        <v>35</v>
      </c>
      <c r="O277" s="58"/>
      <c r="P277" s="57"/>
      <c r="Q277" s="57"/>
      <c r="R277" s="121"/>
      <c r="S277" s="121"/>
      <c r="T277" s="122"/>
      <c r="U277" s="121"/>
      <c r="V277" s="121"/>
      <c r="W277" s="121"/>
      <c r="X277" s="121"/>
      <c r="Y277" s="121"/>
      <c r="Z277" s="121"/>
      <c r="AA277" s="121"/>
    </row>
    <row r="278" spans="2:27">
      <c r="B278" s="37" t="s">
        <v>581</v>
      </c>
      <c r="C278" s="40" t="s">
        <v>566</v>
      </c>
      <c r="D278" s="37" t="s">
        <v>71</v>
      </c>
      <c r="E278" s="39">
        <v>510000</v>
      </c>
      <c r="F278" s="37">
        <v>2001</v>
      </c>
      <c r="G278" s="38" t="s">
        <v>573</v>
      </c>
      <c r="H278" s="37" t="s">
        <v>34</v>
      </c>
      <c r="I278" s="37" t="s">
        <v>34</v>
      </c>
      <c r="J278" s="37" t="s">
        <v>34</v>
      </c>
      <c r="K278" s="37" t="s">
        <v>34</v>
      </c>
      <c r="L278" s="37" t="s">
        <v>34</v>
      </c>
      <c r="O278" s="58"/>
      <c r="P278" s="57"/>
      <c r="Q278" s="57"/>
      <c r="R278" s="121"/>
      <c r="S278" s="121"/>
      <c r="T278" s="122"/>
      <c r="U278" s="121"/>
      <c r="V278" s="121"/>
      <c r="W278" s="121"/>
      <c r="X278" s="121"/>
      <c r="Y278" s="121"/>
      <c r="Z278" s="121"/>
      <c r="AA278" s="121"/>
    </row>
    <row r="279" spans="2:27">
      <c r="B279" s="37" t="s">
        <v>582</v>
      </c>
      <c r="C279" s="40" t="s">
        <v>566</v>
      </c>
      <c r="D279" s="37" t="s">
        <v>14</v>
      </c>
      <c r="E279" s="39">
        <v>550000</v>
      </c>
      <c r="F279" s="37">
        <v>2001</v>
      </c>
      <c r="G279" s="38" t="s">
        <v>583</v>
      </c>
      <c r="H279" s="37" t="s">
        <v>34</v>
      </c>
      <c r="I279" s="37" t="s">
        <v>35</v>
      </c>
      <c r="J279" s="37" t="s">
        <v>35</v>
      </c>
      <c r="K279" s="37" t="s">
        <v>34</v>
      </c>
      <c r="L279" s="37" t="s">
        <v>35</v>
      </c>
      <c r="O279" s="58"/>
      <c r="P279" s="57"/>
      <c r="Q279" s="57"/>
      <c r="R279" s="121"/>
      <c r="S279" s="121"/>
      <c r="T279" s="122"/>
      <c r="U279" s="121"/>
      <c r="V279" s="121"/>
      <c r="W279" s="121"/>
      <c r="X279" s="121"/>
      <c r="Y279" s="121"/>
      <c r="Z279" s="121"/>
      <c r="AA279" s="121"/>
    </row>
    <row r="280" spans="2:27">
      <c r="B280" s="37" t="s">
        <v>584</v>
      </c>
      <c r="C280" s="40" t="s">
        <v>566</v>
      </c>
      <c r="D280" s="37" t="s">
        <v>14</v>
      </c>
      <c r="E280" s="39">
        <v>578000</v>
      </c>
      <c r="F280" s="37">
        <v>2001</v>
      </c>
      <c r="G280" s="38" t="s">
        <v>585</v>
      </c>
      <c r="H280" s="37" t="s">
        <v>34</v>
      </c>
      <c r="I280" s="37" t="s">
        <v>34</v>
      </c>
      <c r="J280" s="37" t="s">
        <v>34</v>
      </c>
      <c r="K280" s="37" t="s">
        <v>34</v>
      </c>
      <c r="L280" s="37" t="s">
        <v>34</v>
      </c>
      <c r="O280" s="58"/>
      <c r="P280" s="57"/>
      <c r="Q280" s="57"/>
      <c r="R280" s="121"/>
      <c r="S280" s="121"/>
      <c r="T280" s="122"/>
      <c r="U280" s="121"/>
      <c r="V280" s="121"/>
      <c r="W280" s="121"/>
      <c r="X280" s="121"/>
      <c r="Y280" s="121"/>
      <c r="Z280" s="121"/>
      <c r="AA280" s="121"/>
    </row>
    <row r="281" spans="2:27">
      <c r="B281" s="37" t="s">
        <v>586</v>
      </c>
      <c r="C281" s="40" t="s">
        <v>587</v>
      </c>
      <c r="D281" s="37" t="s">
        <v>82</v>
      </c>
      <c r="E281" s="39">
        <v>465000</v>
      </c>
      <c r="F281" s="37">
        <v>2011</v>
      </c>
      <c r="G281" s="38" t="s">
        <v>588</v>
      </c>
      <c r="H281" s="37" t="s">
        <v>34</v>
      </c>
      <c r="I281" s="37" t="s">
        <v>34</v>
      </c>
      <c r="J281" s="37" t="s">
        <v>34</v>
      </c>
      <c r="K281" s="37" t="s">
        <v>34</v>
      </c>
      <c r="L281" s="37" t="s">
        <v>269</v>
      </c>
      <c r="O281" s="58"/>
      <c r="P281" s="57"/>
      <c r="Q281" s="57"/>
      <c r="R281" s="121"/>
      <c r="S281" s="121"/>
      <c r="T281" s="122"/>
      <c r="U281" s="121"/>
      <c r="V281" s="121"/>
      <c r="W281" s="121"/>
      <c r="X281" s="121"/>
      <c r="Y281" s="121"/>
      <c r="Z281" s="121"/>
      <c r="AA281" s="121"/>
    </row>
    <row r="282" spans="2:27">
      <c r="B282" s="37" t="s">
        <v>589</v>
      </c>
      <c r="C282" s="40" t="s">
        <v>587</v>
      </c>
      <c r="D282" s="37" t="s">
        <v>82</v>
      </c>
      <c r="E282" s="39">
        <v>510000</v>
      </c>
      <c r="F282" s="37">
        <v>2012</v>
      </c>
      <c r="G282" s="38" t="s">
        <v>590</v>
      </c>
      <c r="H282" s="37" t="s">
        <v>34</v>
      </c>
      <c r="I282" s="38" t="s">
        <v>34</v>
      </c>
      <c r="J282" s="38" t="s">
        <v>34</v>
      </c>
      <c r="K282" s="38" t="s">
        <v>34</v>
      </c>
      <c r="L282" s="37" t="s">
        <v>269</v>
      </c>
      <c r="O282" s="58"/>
      <c r="P282" s="57"/>
      <c r="Q282" s="57"/>
      <c r="R282" s="121"/>
      <c r="S282" s="121"/>
      <c r="T282" s="122"/>
      <c r="U282" s="121"/>
      <c r="V282" s="121"/>
      <c r="W282" s="121"/>
      <c r="X282" s="121"/>
      <c r="Y282" s="121"/>
      <c r="Z282" s="121"/>
      <c r="AA282" s="121"/>
    </row>
    <row r="283" spans="2:27">
      <c r="B283" s="37" t="s">
        <v>591</v>
      </c>
      <c r="C283" s="40" t="s">
        <v>587</v>
      </c>
      <c r="D283" s="37" t="s">
        <v>71</v>
      </c>
      <c r="E283" s="39">
        <v>608000</v>
      </c>
      <c r="F283" s="37">
        <v>2015</v>
      </c>
      <c r="G283" s="38" t="s">
        <v>592</v>
      </c>
      <c r="H283" s="37" t="s">
        <v>34</v>
      </c>
      <c r="I283" s="37" t="s">
        <v>35</v>
      </c>
      <c r="J283" s="37" t="s">
        <v>34</v>
      </c>
      <c r="K283" s="37" t="s">
        <v>34</v>
      </c>
      <c r="L283" s="37" t="s">
        <v>269</v>
      </c>
      <c r="O283" s="58"/>
      <c r="P283" s="57"/>
      <c r="Q283" s="57"/>
      <c r="R283" s="121"/>
      <c r="S283" s="121"/>
      <c r="T283" s="122"/>
      <c r="U283" s="121"/>
      <c r="V283" s="121"/>
      <c r="W283" s="121"/>
      <c r="X283" s="121"/>
      <c r="Y283" s="121"/>
      <c r="Z283" s="121"/>
      <c r="AA283" s="121"/>
    </row>
    <row r="284" spans="2:27">
      <c r="B284" s="37" t="s">
        <v>593</v>
      </c>
      <c r="C284" s="40" t="s">
        <v>587</v>
      </c>
      <c r="D284" s="37" t="s">
        <v>71</v>
      </c>
      <c r="E284" s="39">
        <v>648888</v>
      </c>
      <c r="F284" s="37">
        <v>2017</v>
      </c>
      <c r="G284" s="38" t="s">
        <v>387</v>
      </c>
      <c r="H284" s="37" t="s">
        <v>34</v>
      </c>
      <c r="I284" s="37" t="s">
        <v>35</v>
      </c>
      <c r="J284" s="37" t="s">
        <v>35</v>
      </c>
      <c r="K284" s="37" t="s">
        <v>34</v>
      </c>
      <c r="L284" s="37" t="s">
        <v>269</v>
      </c>
      <c r="O284" s="58"/>
      <c r="P284" s="57"/>
      <c r="Q284" s="57"/>
      <c r="R284" s="121"/>
      <c r="S284" s="121"/>
      <c r="T284" s="122"/>
      <c r="U284" s="121"/>
      <c r="V284" s="121"/>
      <c r="W284" s="121"/>
      <c r="X284" s="121"/>
      <c r="Y284" s="121"/>
      <c r="Z284" s="121"/>
      <c r="AA284" s="121"/>
    </row>
    <row r="285" spans="2:27">
      <c r="B285" s="37" t="s">
        <v>594</v>
      </c>
      <c r="C285" s="40" t="s">
        <v>587</v>
      </c>
      <c r="D285" s="37" t="s">
        <v>71</v>
      </c>
      <c r="E285" s="39">
        <v>510000</v>
      </c>
      <c r="F285" s="37">
        <v>2002</v>
      </c>
      <c r="G285" s="38" t="s">
        <v>595</v>
      </c>
      <c r="H285" s="37" t="s">
        <v>34</v>
      </c>
      <c r="I285" s="37" t="s">
        <v>35</v>
      </c>
      <c r="J285" s="37" t="s">
        <v>35</v>
      </c>
      <c r="K285" s="37" t="s">
        <v>34</v>
      </c>
      <c r="L285" s="37" t="s">
        <v>269</v>
      </c>
      <c r="O285" s="58"/>
      <c r="P285" s="57"/>
      <c r="Q285" s="57"/>
      <c r="R285" s="121"/>
      <c r="S285" s="121"/>
      <c r="T285" s="122"/>
      <c r="U285" s="121"/>
      <c r="V285" s="121"/>
      <c r="W285" s="121"/>
      <c r="X285" s="121"/>
      <c r="Y285" s="121"/>
      <c r="Z285" s="121"/>
      <c r="AA285" s="121"/>
    </row>
    <row r="286" spans="2:27">
      <c r="B286" s="37" t="s">
        <v>596</v>
      </c>
      <c r="C286" s="40" t="s">
        <v>587</v>
      </c>
      <c r="D286" s="37" t="s">
        <v>71</v>
      </c>
      <c r="E286" s="39">
        <v>582000</v>
      </c>
      <c r="F286" s="37">
        <v>2017</v>
      </c>
      <c r="G286" s="38" t="s">
        <v>387</v>
      </c>
      <c r="H286" s="37" t="s">
        <v>34</v>
      </c>
      <c r="I286" s="37" t="s">
        <v>35</v>
      </c>
      <c r="J286" s="37" t="s">
        <v>35</v>
      </c>
      <c r="K286" s="37" t="s">
        <v>34</v>
      </c>
      <c r="L286" s="37" t="s">
        <v>269</v>
      </c>
      <c r="O286" s="58"/>
      <c r="P286" s="57"/>
      <c r="Q286" s="57"/>
      <c r="R286" s="121"/>
      <c r="S286" s="121"/>
      <c r="T286" s="122"/>
      <c r="U286" s="121"/>
      <c r="V286" s="121"/>
      <c r="W286" s="121"/>
      <c r="X286" s="121"/>
      <c r="Y286" s="121"/>
      <c r="Z286" s="121"/>
      <c r="AA286" s="121"/>
    </row>
    <row r="287" spans="2:27">
      <c r="B287" s="37" t="s">
        <v>597</v>
      </c>
      <c r="C287" s="40" t="s">
        <v>587</v>
      </c>
      <c r="D287" s="37" t="s">
        <v>71</v>
      </c>
      <c r="E287" s="39">
        <v>545000</v>
      </c>
      <c r="F287" s="37">
        <v>2001</v>
      </c>
      <c r="G287" s="38" t="s">
        <v>598</v>
      </c>
      <c r="H287" s="37" t="s">
        <v>34</v>
      </c>
      <c r="I287" s="37" t="s">
        <v>34</v>
      </c>
      <c r="J287" s="37" t="s">
        <v>35</v>
      </c>
      <c r="K287" s="37" t="s">
        <v>34</v>
      </c>
      <c r="L287" s="37" t="s">
        <v>34</v>
      </c>
      <c r="O287" s="58"/>
      <c r="P287" s="57"/>
      <c r="Q287" s="57"/>
      <c r="R287" s="121"/>
      <c r="S287" s="121"/>
      <c r="T287" s="122"/>
      <c r="U287" s="121"/>
      <c r="V287" s="121"/>
      <c r="W287" s="121"/>
      <c r="X287" s="121"/>
      <c r="Y287" s="121"/>
      <c r="Z287" s="121"/>
      <c r="AA287" s="121"/>
    </row>
    <row r="288" spans="2:27">
      <c r="B288" s="37" t="s">
        <v>599</v>
      </c>
      <c r="C288" s="40" t="s">
        <v>587</v>
      </c>
      <c r="D288" s="37" t="s">
        <v>71</v>
      </c>
      <c r="E288" s="39">
        <v>485000</v>
      </c>
      <c r="F288" s="37">
        <v>2001</v>
      </c>
      <c r="G288" s="38" t="s">
        <v>576</v>
      </c>
      <c r="H288" s="37" t="s">
        <v>34</v>
      </c>
      <c r="I288" s="37" t="s">
        <v>34</v>
      </c>
      <c r="J288" s="37" t="s">
        <v>35</v>
      </c>
      <c r="K288" s="37" t="s">
        <v>34</v>
      </c>
      <c r="L288" s="37" t="s">
        <v>269</v>
      </c>
      <c r="O288" s="58"/>
      <c r="P288" s="57"/>
      <c r="Q288" s="57"/>
      <c r="R288" s="121"/>
      <c r="S288" s="121"/>
      <c r="T288" s="122"/>
      <c r="U288" s="121"/>
      <c r="V288" s="121"/>
      <c r="W288" s="121"/>
      <c r="X288" s="121"/>
      <c r="Y288" s="121"/>
      <c r="Z288" s="121"/>
      <c r="AA288" s="121"/>
    </row>
    <row r="289" spans="2:27">
      <c r="B289" s="37" t="s">
        <v>600</v>
      </c>
      <c r="C289" s="40" t="s">
        <v>587</v>
      </c>
      <c r="D289" s="37" t="s">
        <v>71</v>
      </c>
      <c r="E289" s="39">
        <v>615000</v>
      </c>
      <c r="F289" s="37">
        <v>2016</v>
      </c>
      <c r="G289" s="38" t="s">
        <v>601</v>
      </c>
      <c r="H289" s="37" t="s">
        <v>34</v>
      </c>
      <c r="I289" s="37" t="s">
        <v>35</v>
      </c>
      <c r="J289" s="37" t="s">
        <v>35</v>
      </c>
      <c r="K289" s="37" t="s">
        <v>34</v>
      </c>
      <c r="L289" s="37" t="s">
        <v>269</v>
      </c>
      <c r="O289" s="58"/>
      <c r="P289" s="57"/>
      <c r="Q289" s="57"/>
      <c r="R289" s="121"/>
      <c r="S289" s="121"/>
      <c r="T289" s="122"/>
      <c r="U289" s="121"/>
      <c r="V289" s="121"/>
      <c r="W289" s="121"/>
      <c r="X289" s="121"/>
      <c r="Y289" s="121"/>
      <c r="Z289" s="121"/>
      <c r="AA289" s="121"/>
    </row>
    <row r="290" spans="2:27">
      <c r="B290" s="37" t="s">
        <v>602</v>
      </c>
      <c r="C290" s="40" t="s">
        <v>587</v>
      </c>
      <c r="D290" s="37" t="s">
        <v>71</v>
      </c>
      <c r="E290" s="39">
        <v>543000</v>
      </c>
      <c r="F290" s="37">
        <v>2004</v>
      </c>
      <c r="G290" s="38" t="s">
        <v>603</v>
      </c>
      <c r="H290" s="37" t="s">
        <v>34</v>
      </c>
      <c r="I290" s="38" t="s">
        <v>34</v>
      </c>
      <c r="J290" s="38" t="s">
        <v>34</v>
      </c>
      <c r="K290" s="38" t="s">
        <v>34</v>
      </c>
      <c r="L290" s="37" t="s">
        <v>269</v>
      </c>
      <c r="O290" s="58"/>
      <c r="P290" s="57"/>
      <c r="Q290" s="57"/>
      <c r="R290" s="121"/>
      <c r="S290" s="121"/>
      <c r="T290" s="122"/>
      <c r="U290" s="121"/>
      <c r="V290" s="121"/>
      <c r="W290" s="121"/>
      <c r="X290" s="121"/>
      <c r="Y290" s="121"/>
      <c r="Z290" s="121"/>
      <c r="AA290" s="121"/>
    </row>
    <row r="291" spans="2:27">
      <c r="B291" s="37" t="s">
        <v>604</v>
      </c>
      <c r="C291" s="40" t="s">
        <v>587</v>
      </c>
      <c r="D291" s="37" t="s">
        <v>71</v>
      </c>
      <c r="E291" s="39">
        <v>645000</v>
      </c>
      <c r="F291" s="37">
        <v>2016</v>
      </c>
      <c r="G291" s="38" t="s">
        <v>605</v>
      </c>
      <c r="H291" s="37" t="s">
        <v>34</v>
      </c>
      <c r="I291" s="38" t="s">
        <v>34</v>
      </c>
      <c r="J291" s="38" t="s">
        <v>34</v>
      </c>
      <c r="K291" s="38" t="s">
        <v>34</v>
      </c>
      <c r="L291" s="37" t="s">
        <v>269</v>
      </c>
      <c r="O291" s="58"/>
      <c r="P291" s="57"/>
      <c r="Q291" s="57"/>
      <c r="R291" s="121"/>
      <c r="S291" s="121"/>
      <c r="T291" s="122"/>
      <c r="U291" s="121"/>
      <c r="V291" s="121"/>
      <c r="W291" s="121"/>
      <c r="X291" s="121"/>
      <c r="Y291" s="121"/>
      <c r="Z291" s="121"/>
      <c r="AA291" s="121"/>
    </row>
    <row r="292" spans="2:27">
      <c r="B292" s="37" t="s">
        <v>606</v>
      </c>
      <c r="C292" s="40" t="s">
        <v>587</v>
      </c>
      <c r="D292" s="37" t="s">
        <v>71</v>
      </c>
      <c r="E292" s="39">
        <v>530000</v>
      </c>
      <c r="F292" s="37">
        <v>1999</v>
      </c>
      <c r="G292" s="38" t="s">
        <v>405</v>
      </c>
      <c r="H292" s="37" t="s">
        <v>34</v>
      </c>
      <c r="I292" s="38" t="s">
        <v>34</v>
      </c>
      <c r="J292" s="38" t="s">
        <v>34</v>
      </c>
      <c r="K292" s="38" t="s">
        <v>34</v>
      </c>
      <c r="L292" s="37" t="s">
        <v>269</v>
      </c>
      <c r="O292" s="58"/>
      <c r="P292" s="57"/>
      <c r="Q292" s="57"/>
      <c r="R292" s="121"/>
      <c r="S292" s="121"/>
      <c r="T292" s="122"/>
      <c r="U292" s="121"/>
      <c r="V292" s="121"/>
      <c r="W292" s="121"/>
      <c r="X292" s="121"/>
      <c r="Y292" s="121"/>
      <c r="Z292" s="121"/>
      <c r="AA292" s="121"/>
    </row>
    <row r="293" spans="2:27">
      <c r="B293" s="37" t="s">
        <v>607</v>
      </c>
      <c r="C293" s="40" t="s">
        <v>587</v>
      </c>
      <c r="D293" s="37" t="s">
        <v>71</v>
      </c>
      <c r="E293" s="39">
        <v>535000</v>
      </c>
      <c r="F293" s="37">
        <v>2015</v>
      </c>
      <c r="G293" s="38" t="s">
        <v>608</v>
      </c>
      <c r="H293" s="37" t="s">
        <v>34</v>
      </c>
      <c r="I293" s="38" t="s">
        <v>34</v>
      </c>
      <c r="J293" s="37" t="s">
        <v>35</v>
      </c>
      <c r="K293" s="38" t="s">
        <v>34</v>
      </c>
      <c r="L293" s="37" t="s">
        <v>35</v>
      </c>
      <c r="O293" s="58"/>
      <c r="P293" s="57"/>
      <c r="Q293" s="57"/>
      <c r="R293" s="121"/>
      <c r="S293" s="121"/>
      <c r="T293" s="122"/>
      <c r="U293" s="121"/>
      <c r="V293" s="121"/>
      <c r="W293" s="121"/>
      <c r="X293" s="121"/>
      <c r="Y293" s="121"/>
      <c r="Z293" s="121"/>
      <c r="AA293" s="121"/>
    </row>
    <row r="294" spans="2:27">
      <c r="B294" s="37" t="s">
        <v>609</v>
      </c>
      <c r="C294" s="40" t="s">
        <v>587</v>
      </c>
      <c r="D294" s="37" t="s">
        <v>71</v>
      </c>
      <c r="E294" s="39">
        <v>575000</v>
      </c>
      <c r="F294" s="37">
        <v>2017</v>
      </c>
      <c r="G294" s="38" t="s">
        <v>245</v>
      </c>
      <c r="H294" s="37" t="s">
        <v>34</v>
      </c>
      <c r="I294" s="38" t="s">
        <v>34</v>
      </c>
      <c r="J294" s="37" t="s">
        <v>35</v>
      </c>
      <c r="K294" s="38" t="s">
        <v>34</v>
      </c>
      <c r="L294" s="37" t="s">
        <v>269</v>
      </c>
      <c r="O294" s="58"/>
      <c r="P294" s="57"/>
      <c r="Q294" s="57"/>
      <c r="R294" s="121"/>
      <c r="S294" s="121"/>
      <c r="T294" s="122"/>
      <c r="U294" s="121"/>
      <c r="V294" s="121"/>
      <c r="W294" s="121"/>
      <c r="X294" s="121"/>
      <c r="Y294" s="121"/>
      <c r="Z294" s="121"/>
      <c r="AA294" s="121"/>
    </row>
    <row r="295" spans="2:27">
      <c r="B295" s="37" t="s">
        <v>610</v>
      </c>
      <c r="C295" s="40" t="s">
        <v>587</v>
      </c>
      <c r="D295" s="37" t="s">
        <v>71</v>
      </c>
      <c r="E295" s="39">
        <v>455000</v>
      </c>
      <c r="F295" s="37">
        <v>2000</v>
      </c>
      <c r="G295" s="38" t="s">
        <v>611</v>
      </c>
      <c r="H295" s="37" t="s">
        <v>34</v>
      </c>
      <c r="I295" s="38" t="s">
        <v>34</v>
      </c>
      <c r="J295" s="38" t="s">
        <v>34</v>
      </c>
      <c r="K295" s="38" t="s">
        <v>34</v>
      </c>
      <c r="L295" s="37" t="s">
        <v>269</v>
      </c>
      <c r="O295" s="58"/>
      <c r="P295" s="57"/>
      <c r="Q295" s="57"/>
      <c r="R295" s="121"/>
      <c r="S295" s="121"/>
      <c r="T295" s="122"/>
      <c r="U295" s="121"/>
      <c r="V295" s="121"/>
      <c r="W295" s="121"/>
      <c r="X295" s="121"/>
      <c r="Y295" s="121"/>
      <c r="Z295" s="121"/>
      <c r="AA295" s="121"/>
    </row>
    <row r="296" spans="2:27">
      <c r="B296" s="37" t="s">
        <v>612</v>
      </c>
      <c r="C296" s="40" t="s">
        <v>587</v>
      </c>
      <c r="D296" s="37" t="s">
        <v>71</v>
      </c>
      <c r="E296" s="39">
        <v>573000</v>
      </c>
      <c r="F296" s="37">
        <v>2003</v>
      </c>
      <c r="G296" s="38" t="s">
        <v>613</v>
      </c>
      <c r="H296" s="37" t="s">
        <v>34</v>
      </c>
      <c r="I296" s="38" t="s">
        <v>34</v>
      </c>
      <c r="J296" s="38" t="s">
        <v>34</v>
      </c>
      <c r="K296" s="38" t="s">
        <v>34</v>
      </c>
      <c r="L296" s="37" t="s">
        <v>34</v>
      </c>
      <c r="O296" s="58"/>
      <c r="P296" s="57"/>
      <c r="Q296" s="57"/>
      <c r="R296" s="121"/>
      <c r="S296" s="121"/>
      <c r="T296" s="122"/>
      <c r="U296" s="121"/>
      <c r="V296" s="121"/>
      <c r="W296" s="121"/>
      <c r="X296" s="121"/>
      <c r="Y296" s="121"/>
      <c r="Z296" s="121"/>
      <c r="AA296" s="121"/>
    </row>
    <row r="297" spans="2:27">
      <c r="B297" s="37" t="s">
        <v>614</v>
      </c>
      <c r="C297" s="40" t="s">
        <v>587</v>
      </c>
      <c r="D297" s="37" t="s">
        <v>71</v>
      </c>
      <c r="E297" s="39">
        <v>570000</v>
      </c>
      <c r="F297" s="37">
        <v>2015</v>
      </c>
      <c r="G297" s="38" t="s">
        <v>500</v>
      </c>
      <c r="H297" s="37" t="s">
        <v>34</v>
      </c>
      <c r="I297" s="38" t="s">
        <v>34</v>
      </c>
      <c r="J297" s="38" t="s">
        <v>34</v>
      </c>
      <c r="K297" s="38" t="s">
        <v>34</v>
      </c>
      <c r="L297" s="37" t="s">
        <v>269</v>
      </c>
      <c r="O297" s="58"/>
      <c r="P297" s="57"/>
      <c r="Q297" s="57"/>
      <c r="R297" s="121"/>
      <c r="S297" s="121"/>
      <c r="T297" s="122"/>
      <c r="U297" s="121"/>
      <c r="V297" s="121"/>
      <c r="W297" s="121"/>
      <c r="X297" s="121"/>
      <c r="Y297" s="121"/>
      <c r="Z297" s="121"/>
      <c r="AA297" s="121"/>
    </row>
    <row r="298" spans="2:27">
      <c r="B298" s="37" t="s">
        <v>615</v>
      </c>
      <c r="C298" s="40" t="s">
        <v>587</v>
      </c>
      <c r="D298" s="37" t="s">
        <v>14</v>
      </c>
      <c r="E298" s="39">
        <v>620000</v>
      </c>
      <c r="F298" s="37">
        <v>2001</v>
      </c>
      <c r="G298" s="38" t="s">
        <v>616</v>
      </c>
      <c r="H298" s="37" t="s">
        <v>34</v>
      </c>
      <c r="I298" s="38" t="s">
        <v>34</v>
      </c>
      <c r="J298" s="38" t="s">
        <v>34</v>
      </c>
      <c r="K298" s="38" t="s">
        <v>34</v>
      </c>
      <c r="L298" s="37" t="s">
        <v>269</v>
      </c>
      <c r="O298" s="58"/>
      <c r="P298" s="57"/>
      <c r="Q298" s="57"/>
      <c r="R298" s="121"/>
      <c r="S298" s="121"/>
      <c r="T298" s="122"/>
      <c r="U298" s="121"/>
      <c r="V298" s="121"/>
      <c r="W298" s="121"/>
      <c r="X298" s="121"/>
      <c r="Y298" s="121"/>
      <c r="Z298" s="121"/>
      <c r="AA298" s="121"/>
    </row>
    <row r="299" spans="2:27">
      <c r="B299" s="37" t="s">
        <v>617</v>
      </c>
      <c r="C299" s="40" t="s">
        <v>587</v>
      </c>
      <c r="D299" s="37" t="s">
        <v>14</v>
      </c>
      <c r="E299" s="39">
        <v>565000</v>
      </c>
      <c r="F299" s="37">
        <v>2001</v>
      </c>
      <c r="G299" s="38" t="s">
        <v>449</v>
      </c>
      <c r="H299" s="37" t="s">
        <v>34</v>
      </c>
      <c r="I299" s="38" t="s">
        <v>34</v>
      </c>
      <c r="J299" s="38" t="s">
        <v>34</v>
      </c>
      <c r="K299" s="38" t="s">
        <v>34</v>
      </c>
      <c r="L299" s="37" t="s">
        <v>35</v>
      </c>
      <c r="O299" s="58"/>
      <c r="P299" s="57"/>
      <c r="Q299" s="57"/>
      <c r="R299" s="121"/>
      <c r="S299" s="121"/>
      <c r="T299" s="122"/>
      <c r="U299" s="121"/>
      <c r="V299" s="121"/>
      <c r="W299" s="121"/>
      <c r="X299" s="121"/>
      <c r="Y299" s="121"/>
      <c r="Z299" s="121"/>
      <c r="AA299" s="121"/>
    </row>
    <row r="300" spans="2:27">
      <c r="B300" s="37" t="s">
        <v>618</v>
      </c>
      <c r="C300" s="40" t="s">
        <v>587</v>
      </c>
      <c r="D300" s="37" t="s">
        <v>14</v>
      </c>
      <c r="E300" s="39">
        <v>595000</v>
      </c>
      <c r="F300" s="37">
        <v>2001</v>
      </c>
      <c r="G300" s="38" t="s">
        <v>573</v>
      </c>
      <c r="H300" s="37" t="s">
        <v>34</v>
      </c>
      <c r="I300" s="38" t="s">
        <v>34</v>
      </c>
      <c r="J300" s="38" t="s">
        <v>34</v>
      </c>
      <c r="K300" s="38" t="s">
        <v>34</v>
      </c>
      <c r="L300" s="37" t="s">
        <v>35</v>
      </c>
      <c r="O300" s="58"/>
      <c r="P300" s="57"/>
      <c r="Q300" s="57"/>
      <c r="R300" s="121"/>
      <c r="S300" s="121"/>
      <c r="T300" s="122"/>
      <c r="U300" s="121"/>
      <c r="V300" s="121"/>
      <c r="W300" s="121"/>
      <c r="X300" s="121"/>
      <c r="Y300" s="121"/>
      <c r="Z300" s="121"/>
      <c r="AA300" s="121"/>
    </row>
    <row r="301" spans="2:27">
      <c r="B301" s="37" t="s">
        <v>619</v>
      </c>
      <c r="C301" s="40" t="s">
        <v>587</v>
      </c>
      <c r="D301" s="37" t="s">
        <v>14</v>
      </c>
      <c r="E301" s="39">
        <v>575000</v>
      </c>
      <c r="F301" s="37">
        <v>2001</v>
      </c>
      <c r="G301" s="38" t="s">
        <v>583</v>
      </c>
      <c r="H301" s="37" t="s">
        <v>34</v>
      </c>
      <c r="I301" s="38" t="s">
        <v>34</v>
      </c>
      <c r="J301" s="38" t="s">
        <v>34</v>
      </c>
      <c r="K301" s="38" t="s">
        <v>34</v>
      </c>
      <c r="L301" s="37" t="s">
        <v>34</v>
      </c>
      <c r="O301" s="58"/>
      <c r="P301" s="57"/>
      <c r="Q301" s="57"/>
      <c r="R301" s="121"/>
      <c r="S301" s="121"/>
      <c r="T301" s="122"/>
      <c r="U301" s="121"/>
      <c r="V301" s="121"/>
      <c r="W301" s="121"/>
      <c r="X301" s="121"/>
      <c r="Y301" s="121"/>
      <c r="Z301" s="121"/>
      <c r="AA301" s="121"/>
    </row>
    <row r="302" spans="2:27">
      <c r="B302" s="37" t="s">
        <v>620</v>
      </c>
      <c r="C302" s="40" t="s">
        <v>587</v>
      </c>
      <c r="D302" s="37" t="s">
        <v>14</v>
      </c>
      <c r="E302" s="39">
        <v>680000</v>
      </c>
      <c r="F302" s="37">
        <v>2004</v>
      </c>
      <c r="G302" s="38" t="s">
        <v>223</v>
      </c>
      <c r="H302" s="37" t="s">
        <v>34</v>
      </c>
      <c r="I302" s="38" t="s">
        <v>34</v>
      </c>
      <c r="J302" s="38" t="s">
        <v>34</v>
      </c>
      <c r="K302" s="38" t="s">
        <v>34</v>
      </c>
      <c r="L302" s="37" t="s">
        <v>269</v>
      </c>
      <c r="O302" s="58"/>
      <c r="P302" s="57"/>
      <c r="Q302" s="57"/>
      <c r="R302" s="121"/>
      <c r="S302" s="121"/>
      <c r="T302" s="122"/>
      <c r="U302" s="121"/>
      <c r="V302" s="121"/>
      <c r="W302" s="121"/>
      <c r="X302" s="121"/>
      <c r="Y302" s="121"/>
      <c r="Z302" s="121"/>
      <c r="AA302" s="121"/>
    </row>
    <row r="303" spans="2:27">
      <c r="B303" s="37" t="s">
        <v>621</v>
      </c>
      <c r="C303" s="40" t="s">
        <v>587</v>
      </c>
      <c r="D303" s="37" t="s">
        <v>14</v>
      </c>
      <c r="E303" s="39">
        <v>545000</v>
      </c>
      <c r="F303" s="37">
        <v>2000</v>
      </c>
      <c r="G303" s="38" t="s">
        <v>171</v>
      </c>
      <c r="H303" s="37" t="s">
        <v>34</v>
      </c>
      <c r="I303" s="38" t="s">
        <v>34</v>
      </c>
      <c r="J303" s="38" t="s">
        <v>34</v>
      </c>
      <c r="K303" s="38" t="s">
        <v>34</v>
      </c>
      <c r="L303" s="37" t="s">
        <v>269</v>
      </c>
      <c r="O303" s="58"/>
      <c r="P303" s="57"/>
      <c r="Q303" s="57"/>
      <c r="R303" s="121"/>
      <c r="S303" s="121"/>
      <c r="T303" s="122"/>
      <c r="U303" s="121"/>
      <c r="V303" s="121"/>
      <c r="W303" s="121"/>
      <c r="X303" s="121"/>
      <c r="Y303" s="121"/>
      <c r="Z303" s="121"/>
      <c r="AA303" s="121"/>
    </row>
    <row r="304" spans="2:27">
      <c r="B304" s="37" t="s">
        <v>622</v>
      </c>
      <c r="C304" s="40" t="s">
        <v>587</v>
      </c>
      <c r="D304" s="37" t="s">
        <v>14</v>
      </c>
      <c r="E304" s="39">
        <v>598000</v>
      </c>
      <c r="F304" s="37">
        <v>1999</v>
      </c>
      <c r="G304" s="38" t="s">
        <v>400</v>
      </c>
      <c r="H304" s="37" t="s">
        <v>34</v>
      </c>
      <c r="I304" s="38" t="s">
        <v>34</v>
      </c>
      <c r="J304" s="38" t="s">
        <v>34</v>
      </c>
      <c r="K304" s="38" t="s">
        <v>34</v>
      </c>
      <c r="L304" s="37" t="s">
        <v>269</v>
      </c>
      <c r="O304" s="58"/>
      <c r="P304" s="57"/>
      <c r="Q304" s="57"/>
      <c r="R304" s="121"/>
      <c r="S304" s="121"/>
      <c r="T304" s="122"/>
      <c r="U304" s="121"/>
      <c r="V304" s="121"/>
      <c r="W304" s="121"/>
      <c r="X304" s="121"/>
      <c r="Y304" s="121"/>
      <c r="Z304" s="121"/>
      <c r="AA304" s="121"/>
    </row>
    <row r="305" spans="2:27">
      <c r="B305" s="37" t="s">
        <v>623</v>
      </c>
      <c r="C305" s="40" t="s">
        <v>587</v>
      </c>
      <c r="D305" s="37" t="s">
        <v>177</v>
      </c>
      <c r="E305" s="39">
        <v>698000</v>
      </c>
      <c r="F305" s="37">
        <v>2001</v>
      </c>
      <c r="G305" s="38" t="s">
        <v>624</v>
      </c>
      <c r="H305" s="37" t="s">
        <v>34</v>
      </c>
      <c r="I305" s="37" t="s">
        <v>34</v>
      </c>
      <c r="J305" s="37" t="s">
        <v>34</v>
      </c>
      <c r="K305" s="37" t="s">
        <v>34</v>
      </c>
      <c r="L305" s="37" t="s">
        <v>269</v>
      </c>
      <c r="O305" s="58"/>
      <c r="P305" s="57"/>
      <c r="Q305" s="57"/>
      <c r="R305" s="121"/>
      <c r="S305" s="121"/>
      <c r="T305" s="122"/>
      <c r="U305" s="121"/>
      <c r="V305" s="121"/>
      <c r="W305" s="121"/>
      <c r="X305" s="121"/>
      <c r="Y305" s="121"/>
      <c r="Z305" s="121"/>
      <c r="AA305" s="121"/>
    </row>
    <row r="306" spans="2:27">
      <c r="B306" s="37" t="s">
        <v>625</v>
      </c>
      <c r="C306" s="40" t="s">
        <v>587</v>
      </c>
      <c r="D306" s="37" t="s">
        <v>177</v>
      </c>
      <c r="E306" s="39">
        <v>738000</v>
      </c>
      <c r="F306" s="37">
        <v>2001</v>
      </c>
      <c r="G306" s="38" t="s">
        <v>616</v>
      </c>
      <c r="H306" s="37" t="s">
        <v>34</v>
      </c>
      <c r="I306" s="37" t="s">
        <v>34</v>
      </c>
      <c r="J306" s="37" t="s">
        <v>34</v>
      </c>
      <c r="K306" s="37" t="s">
        <v>34</v>
      </c>
      <c r="L306" s="37" t="s">
        <v>269</v>
      </c>
      <c r="O306" s="58"/>
      <c r="P306" s="57"/>
      <c r="Q306" s="57"/>
      <c r="R306" s="121"/>
      <c r="S306" s="121"/>
      <c r="T306" s="122"/>
      <c r="U306" s="121"/>
      <c r="V306" s="121"/>
      <c r="W306" s="121"/>
      <c r="X306" s="121"/>
      <c r="Y306" s="121"/>
      <c r="Z306" s="121"/>
      <c r="AA306" s="121"/>
    </row>
    <row r="307" spans="2:27">
      <c r="B307" s="37" t="s">
        <v>626</v>
      </c>
      <c r="C307" s="40" t="s">
        <v>587</v>
      </c>
      <c r="D307" s="37" t="s">
        <v>177</v>
      </c>
      <c r="E307" s="39">
        <v>880000</v>
      </c>
      <c r="F307" s="37">
        <v>1999</v>
      </c>
      <c r="G307" s="38" t="s">
        <v>303</v>
      </c>
      <c r="H307" s="37" t="s">
        <v>34</v>
      </c>
      <c r="I307" s="37" t="s">
        <v>34</v>
      </c>
      <c r="J307" s="37" t="s">
        <v>34</v>
      </c>
      <c r="K307" s="37" t="s">
        <v>34</v>
      </c>
      <c r="L307" s="37" t="s">
        <v>269</v>
      </c>
      <c r="O307" s="58"/>
      <c r="P307" s="57"/>
      <c r="Q307" s="57"/>
      <c r="R307" s="121"/>
      <c r="S307" s="121"/>
      <c r="T307" s="122"/>
      <c r="U307" s="121"/>
      <c r="V307" s="121"/>
      <c r="W307" s="121"/>
      <c r="X307" s="121"/>
      <c r="Y307" s="121"/>
      <c r="Z307" s="121"/>
      <c r="AA307" s="121"/>
    </row>
    <row r="308" spans="2:27">
      <c r="B308" s="37" t="s">
        <v>627</v>
      </c>
      <c r="C308" s="32" t="s">
        <v>628</v>
      </c>
      <c r="D308" s="37" t="s">
        <v>82</v>
      </c>
      <c r="E308" s="39">
        <v>460000</v>
      </c>
      <c r="F308" s="37">
        <v>1985</v>
      </c>
      <c r="G308" s="38" t="s">
        <v>233</v>
      </c>
      <c r="H308" s="37" t="s">
        <v>34</v>
      </c>
      <c r="I308" s="37" t="s">
        <v>35</v>
      </c>
      <c r="J308" s="37" t="s">
        <v>34</v>
      </c>
      <c r="K308" s="37" t="s">
        <v>34</v>
      </c>
      <c r="L308" s="37" t="s">
        <v>35</v>
      </c>
      <c r="O308" s="58"/>
      <c r="P308" s="57"/>
      <c r="Q308" s="57"/>
      <c r="R308" s="121"/>
      <c r="S308" s="121"/>
      <c r="T308" s="122"/>
      <c r="U308" s="121"/>
      <c r="V308" s="121"/>
      <c r="W308" s="121"/>
      <c r="X308" s="121"/>
      <c r="Y308" s="121"/>
      <c r="Z308" s="121"/>
      <c r="AA308" s="121"/>
    </row>
    <row r="309" spans="2:27">
      <c r="B309" s="37" t="s">
        <v>629</v>
      </c>
      <c r="C309" s="32" t="s">
        <v>628</v>
      </c>
      <c r="D309" s="37" t="s">
        <v>82</v>
      </c>
      <c r="E309" s="39">
        <v>430000</v>
      </c>
      <c r="F309" s="37">
        <v>1985</v>
      </c>
      <c r="G309" s="38" t="s">
        <v>464</v>
      </c>
      <c r="H309" s="37" t="s">
        <v>34</v>
      </c>
      <c r="I309" s="37" t="s">
        <v>35</v>
      </c>
      <c r="J309" s="37" t="s">
        <v>34</v>
      </c>
      <c r="K309" s="37" t="s">
        <v>34</v>
      </c>
      <c r="L309" s="37" t="s">
        <v>35</v>
      </c>
      <c r="O309" s="58"/>
      <c r="P309" s="57"/>
      <c r="Q309" s="57"/>
      <c r="R309" s="121"/>
      <c r="S309" s="121"/>
      <c r="T309" s="122"/>
      <c r="U309" s="121"/>
      <c r="V309" s="121"/>
      <c r="W309" s="121"/>
      <c r="X309" s="121"/>
      <c r="Y309" s="121"/>
      <c r="Z309" s="121"/>
      <c r="AA309" s="121"/>
    </row>
    <row r="310" spans="2:27">
      <c r="B310" s="37" t="s">
        <v>630</v>
      </c>
      <c r="C310" s="32" t="s">
        <v>628</v>
      </c>
      <c r="D310" s="37" t="s">
        <v>82</v>
      </c>
      <c r="E310" s="39">
        <v>370000</v>
      </c>
      <c r="F310" s="37">
        <v>1985</v>
      </c>
      <c r="G310" s="38" t="s">
        <v>233</v>
      </c>
      <c r="H310" s="37" t="s">
        <v>34</v>
      </c>
      <c r="I310" s="37" t="s">
        <v>35</v>
      </c>
      <c r="J310" s="37" t="s">
        <v>34</v>
      </c>
      <c r="K310" s="37" t="s">
        <v>34</v>
      </c>
      <c r="L310" s="37" t="s">
        <v>35</v>
      </c>
      <c r="O310" s="58"/>
      <c r="P310" s="57"/>
      <c r="Q310" s="57"/>
      <c r="R310" s="121"/>
      <c r="S310" s="121"/>
      <c r="T310" s="122"/>
      <c r="U310" s="121"/>
      <c r="V310" s="121"/>
      <c r="W310" s="121"/>
      <c r="X310" s="121"/>
      <c r="Y310" s="121"/>
      <c r="Z310" s="121"/>
      <c r="AA310" s="121"/>
    </row>
    <row r="311" spans="2:27">
      <c r="B311" s="37" t="s">
        <v>631</v>
      </c>
      <c r="C311" s="32" t="s">
        <v>628</v>
      </c>
      <c r="D311" s="37" t="s">
        <v>71</v>
      </c>
      <c r="E311" s="39">
        <v>690000</v>
      </c>
      <c r="F311" s="37">
        <v>1985</v>
      </c>
      <c r="G311" s="38" t="s">
        <v>307</v>
      </c>
      <c r="H311" s="37" t="s">
        <v>34</v>
      </c>
      <c r="I311" s="37" t="s">
        <v>34</v>
      </c>
      <c r="J311" s="37" t="s">
        <v>34</v>
      </c>
      <c r="K311" s="37" t="s">
        <v>34</v>
      </c>
      <c r="L311" s="37" t="s">
        <v>35</v>
      </c>
      <c r="O311" s="58"/>
      <c r="P311" s="57"/>
      <c r="Q311" s="57"/>
      <c r="R311" s="121"/>
      <c r="S311" s="121"/>
      <c r="T311" s="122"/>
      <c r="U311" s="121"/>
      <c r="V311" s="121"/>
      <c r="W311" s="121"/>
      <c r="X311" s="121"/>
      <c r="Y311" s="121"/>
      <c r="Z311" s="121"/>
      <c r="AA311" s="121"/>
    </row>
    <row r="312" spans="2:27">
      <c r="B312" s="37" t="s">
        <v>632</v>
      </c>
      <c r="C312" s="32" t="s">
        <v>628</v>
      </c>
      <c r="D312" s="37" t="s">
        <v>14</v>
      </c>
      <c r="E312" s="39">
        <v>862000</v>
      </c>
      <c r="F312" s="37">
        <v>1989</v>
      </c>
      <c r="G312" s="38" t="s">
        <v>633</v>
      </c>
      <c r="H312" s="37" t="s">
        <v>34</v>
      </c>
      <c r="I312" s="37" t="s">
        <v>34</v>
      </c>
      <c r="J312" s="37" t="s">
        <v>34</v>
      </c>
      <c r="K312" s="37" t="s">
        <v>34</v>
      </c>
      <c r="L312" s="37" t="s">
        <v>35</v>
      </c>
      <c r="O312" s="58"/>
      <c r="P312" s="57"/>
      <c r="Q312" s="57"/>
      <c r="R312" s="121"/>
      <c r="S312" s="121"/>
      <c r="T312" s="122"/>
      <c r="U312" s="121"/>
      <c r="V312" s="121"/>
      <c r="W312" s="121"/>
      <c r="X312" s="121"/>
      <c r="Y312" s="121"/>
      <c r="Z312" s="121"/>
      <c r="AA312" s="121"/>
    </row>
    <row r="313" spans="2:27">
      <c r="B313" s="37" t="s">
        <v>634</v>
      </c>
      <c r="C313" s="32" t="s">
        <v>628</v>
      </c>
      <c r="D313" s="37" t="s">
        <v>14</v>
      </c>
      <c r="E313" s="39">
        <v>890000</v>
      </c>
      <c r="F313" s="37">
        <v>1985</v>
      </c>
      <c r="G313" s="38" t="s">
        <v>635</v>
      </c>
      <c r="H313" s="37" t="s">
        <v>34</v>
      </c>
      <c r="I313" s="37" t="s">
        <v>34</v>
      </c>
      <c r="J313" s="37" t="s">
        <v>34</v>
      </c>
      <c r="K313" s="37" t="s">
        <v>34</v>
      </c>
      <c r="L313" s="37" t="s">
        <v>34</v>
      </c>
      <c r="O313" s="58"/>
      <c r="P313" s="57"/>
      <c r="Q313" s="57"/>
      <c r="R313" s="121"/>
      <c r="S313" s="121"/>
      <c r="T313" s="122"/>
      <c r="U313" s="121"/>
      <c r="V313" s="121"/>
      <c r="W313" s="121"/>
      <c r="X313" s="121"/>
      <c r="Y313" s="121"/>
      <c r="Z313" s="121"/>
      <c r="AA313" s="121"/>
    </row>
    <row r="314" spans="2:27">
      <c r="B314" s="37" t="s">
        <v>636</v>
      </c>
      <c r="C314" s="32" t="s">
        <v>637</v>
      </c>
      <c r="D314" s="37" t="s">
        <v>82</v>
      </c>
      <c r="E314" s="39">
        <v>529000</v>
      </c>
      <c r="F314" s="37">
        <v>2015</v>
      </c>
      <c r="G314" s="38" t="s">
        <v>638</v>
      </c>
      <c r="H314" s="37" t="s">
        <v>34</v>
      </c>
      <c r="I314" s="37" t="s">
        <v>35</v>
      </c>
      <c r="J314" s="37" t="s">
        <v>34</v>
      </c>
      <c r="K314" s="37" t="s">
        <v>34</v>
      </c>
      <c r="L314" s="37" t="s">
        <v>34</v>
      </c>
      <c r="O314" s="58"/>
      <c r="P314" s="57"/>
      <c r="Q314" s="57"/>
      <c r="R314" s="121"/>
      <c r="S314" s="121"/>
      <c r="T314" s="122"/>
      <c r="U314" s="121"/>
      <c r="V314" s="121"/>
      <c r="W314" s="121"/>
      <c r="X314" s="121"/>
      <c r="Y314" s="121"/>
      <c r="Z314" s="121"/>
      <c r="AA314" s="121"/>
    </row>
    <row r="315" spans="2:27">
      <c r="B315" s="37" t="s">
        <v>639</v>
      </c>
      <c r="C315" s="32" t="s">
        <v>637</v>
      </c>
      <c r="D315" s="37" t="s">
        <v>82</v>
      </c>
      <c r="E315" s="39">
        <v>435000</v>
      </c>
      <c r="F315" s="37">
        <v>1984</v>
      </c>
      <c r="G315" s="38" t="s">
        <v>640</v>
      </c>
      <c r="H315" s="37" t="s">
        <v>34</v>
      </c>
      <c r="I315" s="37" t="s">
        <v>35</v>
      </c>
      <c r="J315" s="37" t="s">
        <v>34</v>
      </c>
      <c r="K315" s="37" t="s">
        <v>34</v>
      </c>
      <c r="L315" s="37" t="s">
        <v>35</v>
      </c>
      <c r="O315" s="58"/>
      <c r="P315" s="57"/>
      <c r="Q315" s="57"/>
      <c r="R315" s="121"/>
      <c r="S315" s="121"/>
      <c r="T315" s="122"/>
      <c r="U315" s="121"/>
      <c r="V315" s="121"/>
      <c r="W315" s="121"/>
      <c r="X315" s="121"/>
      <c r="Y315" s="121"/>
      <c r="Z315" s="121"/>
      <c r="AA315" s="121"/>
    </row>
    <row r="316" spans="2:27">
      <c r="B316" s="37" t="s">
        <v>641</v>
      </c>
      <c r="C316" s="32" t="s">
        <v>637</v>
      </c>
      <c r="D316" s="37" t="s">
        <v>82</v>
      </c>
      <c r="E316" s="39">
        <v>438000</v>
      </c>
      <c r="F316" s="37">
        <v>1984</v>
      </c>
      <c r="G316" s="38" t="s">
        <v>133</v>
      </c>
      <c r="H316" s="37" t="s">
        <v>34</v>
      </c>
      <c r="I316" s="37" t="s">
        <v>34</v>
      </c>
      <c r="J316" s="37" t="s">
        <v>34</v>
      </c>
      <c r="K316" s="37" t="s">
        <v>34</v>
      </c>
      <c r="L316" s="37" t="s">
        <v>35</v>
      </c>
      <c r="O316" s="58"/>
      <c r="P316" s="57"/>
      <c r="Q316" s="57"/>
      <c r="R316" s="121"/>
      <c r="S316" s="121"/>
      <c r="T316" s="122"/>
      <c r="U316" s="121"/>
      <c r="V316" s="121"/>
      <c r="W316" s="121"/>
      <c r="X316" s="121"/>
      <c r="Y316" s="121"/>
      <c r="Z316" s="121"/>
      <c r="AA316" s="121"/>
    </row>
    <row r="317" spans="2:27">
      <c r="B317" s="37" t="s">
        <v>642</v>
      </c>
      <c r="C317" s="32" t="s">
        <v>637</v>
      </c>
      <c r="D317" s="37" t="s">
        <v>82</v>
      </c>
      <c r="E317" s="39">
        <v>456888</v>
      </c>
      <c r="F317" s="37">
        <v>1984</v>
      </c>
      <c r="G317" s="38" t="s">
        <v>462</v>
      </c>
      <c r="H317" s="37" t="s">
        <v>34</v>
      </c>
      <c r="I317" s="37" t="s">
        <v>34</v>
      </c>
      <c r="J317" s="37" t="s">
        <v>34</v>
      </c>
      <c r="K317" s="37" t="s">
        <v>34</v>
      </c>
      <c r="L317" s="37" t="s">
        <v>34</v>
      </c>
      <c r="O317" s="58"/>
      <c r="P317" s="57"/>
      <c r="Q317" s="57"/>
      <c r="R317" s="121"/>
      <c r="S317" s="121"/>
      <c r="T317" s="122"/>
      <c r="U317" s="121"/>
      <c r="V317" s="121"/>
      <c r="W317" s="121"/>
      <c r="X317" s="121"/>
      <c r="Y317" s="121"/>
      <c r="Z317" s="121"/>
      <c r="AA317" s="121"/>
    </row>
    <row r="318" spans="2:27">
      <c r="B318" s="37" t="s">
        <v>643</v>
      </c>
      <c r="C318" s="32" t="s">
        <v>637</v>
      </c>
      <c r="D318" s="37" t="s">
        <v>82</v>
      </c>
      <c r="E318" s="39">
        <v>430000</v>
      </c>
      <c r="F318" s="37">
        <v>1984</v>
      </c>
      <c r="G318" s="38" t="s">
        <v>445</v>
      </c>
      <c r="H318" s="37" t="s">
        <v>34</v>
      </c>
      <c r="I318" s="37" t="s">
        <v>34</v>
      </c>
      <c r="J318" s="37" t="s">
        <v>34</v>
      </c>
      <c r="K318" s="37" t="s">
        <v>34</v>
      </c>
      <c r="L318" s="37" t="s">
        <v>34</v>
      </c>
      <c r="O318" s="58"/>
      <c r="P318" s="57"/>
      <c r="Q318" s="57"/>
      <c r="R318" s="121"/>
      <c r="S318" s="121"/>
      <c r="T318" s="122"/>
      <c r="U318" s="121"/>
      <c r="V318" s="121"/>
      <c r="W318" s="121"/>
      <c r="X318" s="121"/>
      <c r="Y318" s="121"/>
      <c r="Z318" s="121"/>
      <c r="AA318" s="121"/>
    </row>
    <row r="319" spans="2:27">
      <c r="B319" s="37" t="s">
        <v>644</v>
      </c>
      <c r="C319" s="32" t="s">
        <v>637</v>
      </c>
      <c r="D319" s="37" t="s">
        <v>82</v>
      </c>
      <c r="E319" s="39">
        <v>485000</v>
      </c>
      <c r="F319" s="37">
        <v>2015</v>
      </c>
      <c r="G319" s="38" t="s">
        <v>645</v>
      </c>
      <c r="H319" s="37" t="s">
        <v>34</v>
      </c>
      <c r="I319" s="37" t="s">
        <v>35</v>
      </c>
      <c r="J319" s="37" t="s">
        <v>34</v>
      </c>
      <c r="K319" s="37" t="s">
        <v>34</v>
      </c>
      <c r="L319" s="37" t="s">
        <v>34</v>
      </c>
      <c r="O319" s="58"/>
      <c r="P319" s="57"/>
      <c r="Q319" s="57"/>
      <c r="R319" s="121"/>
      <c r="S319" s="121"/>
      <c r="T319" s="122"/>
      <c r="U319" s="121"/>
      <c r="V319" s="121"/>
      <c r="W319" s="121"/>
      <c r="X319" s="121"/>
      <c r="Y319" s="121"/>
      <c r="Z319" s="121"/>
      <c r="AA319" s="121"/>
    </row>
    <row r="320" spans="2:27">
      <c r="B320" s="37" t="s">
        <v>646</v>
      </c>
      <c r="C320" s="32" t="s">
        <v>637</v>
      </c>
      <c r="D320" s="37" t="s">
        <v>82</v>
      </c>
      <c r="E320" s="39">
        <v>548888</v>
      </c>
      <c r="F320" s="37">
        <v>2020</v>
      </c>
      <c r="G320" s="38" t="s">
        <v>225</v>
      </c>
      <c r="H320" s="37" t="s">
        <v>34</v>
      </c>
      <c r="I320" s="37" t="s">
        <v>34</v>
      </c>
      <c r="J320" s="37" t="s">
        <v>35</v>
      </c>
      <c r="K320" s="37" t="s">
        <v>34</v>
      </c>
      <c r="L320" s="37" t="s">
        <v>35</v>
      </c>
      <c r="O320" s="58"/>
      <c r="P320" s="57"/>
      <c r="Q320" s="57"/>
      <c r="R320" s="121"/>
      <c r="S320" s="121"/>
      <c r="T320" s="122"/>
      <c r="U320" s="121"/>
      <c r="V320" s="121"/>
      <c r="W320" s="121"/>
      <c r="X320" s="121"/>
      <c r="Y320" s="121"/>
      <c r="Z320" s="121"/>
      <c r="AA320" s="121"/>
    </row>
    <row r="321" spans="2:27">
      <c r="B321" s="37" t="s">
        <v>647</v>
      </c>
      <c r="C321" s="32" t="s">
        <v>637</v>
      </c>
      <c r="D321" s="37" t="s">
        <v>71</v>
      </c>
      <c r="E321" s="39">
        <v>580000</v>
      </c>
      <c r="F321" s="37">
        <v>1989</v>
      </c>
      <c r="G321" s="38" t="s">
        <v>633</v>
      </c>
      <c r="H321" s="37" t="s">
        <v>34</v>
      </c>
      <c r="I321" s="37" t="s">
        <v>34</v>
      </c>
      <c r="J321" s="37" t="s">
        <v>34</v>
      </c>
      <c r="K321" s="37" t="s">
        <v>34</v>
      </c>
      <c r="L321" s="37" t="s">
        <v>34</v>
      </c>
      <c r="O321" s="58"/>
      <c r="P321" s="57"/>
      <c r="Q321" s="57"/>
      <c r="R321" s="121"/>
      <c r="S321" s="121"/>
      <c r="T321" s="122"/>
      <c r="U321" s="121"/>
      <c r="V321" s="121"/>
      <c r="W321" s="121"/>
      <c r="X321" s="121"/>
      <c r="Y321" s="121"/>
      <c r="Z321" s="121"/>
      <c r="AA321" s="121"/>
    </row>
    <row r="322" spans="2:27">
      <c r="B322" s="37" t="s">
        <v>648</v>
      </c>
      <c r="C322" s="32" t="s">
        <v>637</v>
      </c>
      <c r="D322" s="37" t="s">
        <v>71</v>
      </c>
      <c r="E322" s="39">
        <v>580000</v>
      </c>
      <c r="F322" s="37">
        <v>1989</v>
      </c>
      <c r="G322" s="38" t="s">
        <v>649</v>
      </c>
      <c r="H322" s="37" t="s">
        <v>34</v>
      </c>
      <c r="I322" s="37" t="s">
        <v>34</v>
      </c>
      <c r="J322" s="37" t="s">
        <v>34</v>
      </c>
      <c r="K322" s="37" t="s">
        <v>34</v>
      </c>
      <c r="L322" s="37" t="s">
        <v>34</v>
      </c>
      <c r="O322" s="58"/>
      <c r="P322" s="57"/>
      <c r="Q322" s="57"/>
      <c r="R322" s="121"/>
      <c r="S322" s="121"/>
      <c r="T322" s="122"/>
      <c r="U322" s="121"/>
      <c r="V322" s="121"/>
      <c r="W322" s="121"/>
      <c r="X322" s="121"/>
      <c r="Y322" s="121"/>
      <c r="Z322" s="121"/>
      <c r="AA322" s="121"/>
    </row>
    <row r="323" spans="2:27">
      <c r="B323" s="37" t="s">
        <v>650</v>
      </c>
      <c r="C323" s="32" t="s">
        <v>637</v>
      </c>
      <c r="D323" s="37" t="s">
        <v>71</v>
      </c>
      <c r="E323" s="39">
        <v>645000</v>
      </c>
      <c r="F323" s="37">
        <v>1988</v>
      </c>
      <c r="G323" s="38" t="s">
        <v>651</v>
      </c>
      <c r="H323" s="37" t="s">
        <v>34</v>
      </c>
      <c r="I323" s="37" t="s">
        <v>34</v>
      </c>
      <c r="J323" s="37" t="s">
        <v>34</v>
      </c>
      <c r="K323" s="37" t="s">
        <v>34</v>
      </c>
      <c r="L323" s="37" t="s">
        <v>34</v>
      </c>
      <c r="O323" s="58"/>
      <c r="P323" s="57"/>
      <c r="Q323" s="57"/>
      <c r="R323" s="121"/>
      <c r="S323" s="121"/>
      <c r="T323" s="122"/>
      <c r="U323" s="121"/>
      <c r="V323" s="121"/>
      <c r="W323" s="121"/>
      <c r="X323" s="121"/>
      <c r="Y323" s="121"/>
      <c r="Z323" s="121"/>
      <c r="AA323" s="121"/>
    </row>
    <row r="324" spans="2:27">
      <c r="B324" s="37" t="s">
        <v>652</v>
      </c>
      <c r="C324" s="32" t="s">
        <v>637</v>
      </c>
      <c r="D324" s="37" t="s">
        <v>71</v>
      </c>
      <c r="E324" s="39">
        <v>556000</v>
      </c>
      <c r="F324" s="37">
        <v>1997</v>
      </c>
      <c r="G324" s="38" t="s">
        <v>653</v>
      </c>
      <c r="H324" s="37" t="s">
        <v>34</v>
      </c>
      <c r="I324" s="37" t="s">
        <v>35</v>
      </c>
      <c r="J324" s="37" t="s">
        <v>34</v>
      </c>
      <c r="K324" s="37" t="s">
        <v>34</v>
      </c>
      <c r="L324" s="37" t="s">
        <v>34</v>
      </c>
      <c r="O324" s="58"/>
      <c r="P324" s="57"/>
      <c r="Q324" s="57"/>
      <c r="R324" s="121"/>
      <c r="S324" s="121"/>
      <c r="T324" s="122"/>
      <c r="U324" s="121"/>
      <c r="V324" s="121"/>
      <c r="W324" s="121"/>
      <c r="X324" s="121"/>
      <c r="Y324" s="121"/>
      <c r="Z324" s="121"/>
      <c r="AA324" s="121"/>
    </row>
    <row r="325" spans="2:27">
      <c r="B325" s="37" t="s">
        <v>654</v>
      </c>
      <c r="C325" s="32" t="s">
        <v>637</v>
      </c>
      <c r="D325" s="37" t="s">
        <v>71</v>
      </c>
      <c r="E325" s="39">
        <v>568000</v>
      </c>
      <c r="F325" s="37">
        <v>1985</v>
      </c>
      <c r="G325" s="38" t="s">
        <v>220</v>
      </c>
      <c r="H325" s="37" t="s">
        <v>34</v>
      </c>
      <c r="I325" s="37" t="s">
        <v>34</v>
      </c>
      <c r="J325" s="37" t="s">
        <v>34</v>
      </c>
      <c r="K325" s="37" t="s">
        <v>34</v>
      </c>
      <c r="L325" s="37" t="s">
        <v>34</v>
      </c>
      <c r="O325" s="58"/>
      <c r="P325" s="57"/>
      <c r="Q325" s="57"/>
      <c r="R325" s="121"/>
      <c r="S325" s="121"/>
      <c r="T325" s="122"/>
      <c r="U325" s="121"/>
      <c r="V325" s="121"/>
      <c r="W325" s="121"/>
      <c r="X325" s="121"/>
      <c r="Y325" s="121"/>
      <c r="Z325" s="121"/>
      <c r="AA325" s="121"/>
    </row>
    <row r="326" spans="2:27">
      <c r="B326" s="37" t="s">
        <v>655</v>
      </c>
      <c r="C326" s="32" t="s">
        <v>637</v>
      </c>
      <c r="D326" s="37" t="s">
        <v>71</v>
      </c>
      <c r="E326" s="39">
        <v>608888</v>
      </c>
      <c r="F326" s="37">
        <v>1997</v>
      </c>
      <c r="G326" s="38" t="s">
        <v>330</v>
      </c>
      <c r="H326" s="37" t="s">
        <v>34</v>
      </c>
      <c r="I326" s="37" t="s">
        <v>35</v>
      </c>
      <c r="J326" s="37" t="s">
        <v>34</v>
      </c>
      <c r="K326" s="37" t="s">
        <v>34</v>
      </c>
      <c r="L326" s="37" t="s">
        <v>34</v>
      </c>
      <c r="O326" s="58"/>
      <c r="P326" s="57"/>
      <c r="Q326" s="57"/>
      <c r="R326" s="121"/>
      <c r="S326" s="121"/>
      <c r="T326" s="122"/>
      <c r="U326" s="121"/>
      <c r="V326" s="121"/>
      <c r="W326" s="121"/>
      <c r="X326" s="121"/>
      <c r="Y326" s="121"/>
      <c r="Z326" s="121"/>
      <c r="AA326" s="121"/>
    </row>
    <row r="327" spans="2:27">
      <c r="B327" s="37" t="s">
        <v>656</v>
      </c>
      <c r="C327" s="32" t="s">
        <v>637</v>
      </c>
      <c r="D327" s="37" t="s">
        <v>71</v>
      </c>
      <c r="E327" s="39">
        <v>548000</v>
      </c>
      <c r="F327" s="37">
        <v>1989</v>
      </c>
      <c r="G327" s="38" t="s">
        <v>278</v>
      </c>
      <c r="H327" s="37" t="s">
        <v>34</v>
      </c>
      <c r="I327" s="37" t="s">
        <v>35</v>
      </c>
      <c r="J327" s="37" t="s">
        <v>34</v>
      </c>
      <c r="K327" s="37" t="s">
        <v>34</v>
      </c>
      <c r="L327" s="37" t="s">
        <v>34</v>
      </c>
      <c r="O327" s="58"/>
      <c r="P327" s="57"/>
      <c r="Q327" s="57"/>
      <c r="R327" s="121"/>
      <c r="S327" s="121"/>
      <c r="T327" s="122"/>
      <c r="U327" s="121"/>
      <c r="V327" s="121"/>
      <c r="W327" s="121"/>
      <c r="X327" s="121"/>
      <c r="Y327" s="121"/>
      <c r="Z327" s="121"/>
      <c r="AA327" s="121"/>
    </row>
    <row r="328" spans="2:27">
      <c r="B328" s="37" t="s">
        <v>657</v>
      </c>
      <c r="C328" s="32" t="s">
        <v>637</v>
      </c>
      <c r="D328" s="37" t="s">
        <v>71</v>
      </c>
      <c r="E328" s="39">
        <v>525000</v>
      </c>
      <c r="F328" s="37">
        <v>1993</v>
      </c>
      <c r="G328" s="38" t="s">
        <v>658</v>
      </c>
      <c r="H328" s="37" t="s">
        <v>34</v>
      </c>
      <c r="I328" s="37" t="s">
        <v>35</v>
      </c>
      <c r="J328" s="37" t="s">
        <v>34</v>
      </c>
      <c r="K328" s="37" t="s">
        <v>34</v>
      </c>
      <c r="L328" s="37" t="s">
        <v>34</v>
      </c>
      <c r="O328" s="58"/>
      <c r="P328" s="57"/>
      <c r="Q328" s="57"/>
      <c r="R328" s="121"/>
      <c r="S328" s="121"/>
      <c r="T328" s="122"/>
      <c r="U328" s="121"/>
      <c r="V328" s="121"/>
      <c r="W328" s="121"/>
      <c r="X328" s="121"/>
      <c r="Y328" s="121"/>
      <c r="Z328" s="121"/>
      <c r="AA328" s="121"/>
    </row>
    <row r="329" spans="2:27">
      <c r="B329" s="37" t="s">
        <v>659</v>
      </c>
      <c r="C329" s="32" t="s">
        <v>637</v>
      </c>
      <c r="D329" s="37" t="s">
        <v>71</v>
      </c>
      <c r="E329" s="39">
        <v>710000</v>
      </c>
      <c r="F329" s="37">
        <v>2020</v>
      </c>
      <c r="G329" s="38" t="s">
        <v>225</v>
      </c>
      <c r="H329" s="37" t="s">
        <v>34</v>
      </c>
      <c r="I329" s="37" t="s">
        <v>34</v>
      </c>
      <c r="J329" s="37" t="s">
        <v>35</v>
      </c>
      <c r="K329" s="37" t="s">
        <v>34</v>
      </c>
      <c r="L329" s="37" t="s">
        <v>34</v>
      </c>
      <c r="O329" s="58"/>
      <c r="P329" s="57"/>
      <c r="Q329" s="57"/>
      <c r="R329" s="121"/>
      <c r="S329" s="121"/>
      <c r="T329" s="122"/>
      <c r="U329" s="121"/>
      <c r="V329" s="121"/>
      <c r="W329" s="121"/>
      <c r="X329" s="121"/>
      <c r="Y329" s="121"/>
      <c r="Z329" s="121"/>
      <c r="AA329" s="121"/>
    </row>
    <row r="330" spans="2:27">
      <c r="B330" s="37" t="s">
        <v>660</v>
      </c>
      <c r="C330" s="32" t="s">
        <v>637</v>
      </c>
      <c r="D330" s="37" t="s">
        <v>71</v>
      </c>
      <c r="E330" s="39">
        <v>725000</v>
      </c>
      <c r="F330" s="37">
        <v>2020</v>
      </c>
      <c r="G330" s="38" t="s">
        <v>225</v>
      </c>
      <c r="H330" s="37" t="s">
        <v>34</v>
      </c>
      <c r="I330" s="37" t="s">
        <v>34</v>
      </c>
      <c r="J330" s="37" t="s">
        <v>35</v>
      </c>
      <c r="K330" s="37" t="s">
        <v>34</v>
      </c>
      <c r="L330" s="37" t="s">
        <v>34</v>
      </c>
      <c r="O330" s="58"/>
      <c r="P330" s="57"/>
      <c r="Q330" s="57"/>
      <c r="R330" s="121"/>
      <c r="S330" s="121"/>
      <c r="T330" s="122"/>
      <c r="U330" s="121"/>
      <c r="V330" s="121"/>
      <c r="W330" s="121"/>
      <c r="X330" s="121"/>
      <c r="Y330" s="121"/>
      <c r="Z330" s="121"/>
      <c r="AA330" s="121"/>
    </row>
    <row r="331" spans="2:27">
      <c r="B331" s="37" t="s">
        <v>661</v>
      </c>
      <c r="C331" s="32" t="s">
        <v>637</v>
      </c>
      <c r="D331" s="37" t="s">
        <v>71</v>
      </c>
      <c r="E331" s="39">
        <v>605000</v>
      </c>
      <c r="F331" s="37">
        <v>1984</v>
      </c>
      <c r="G331" s="38" t="s">
        <v>445</v>
      </c>
      <c r="H331" s="37" t="s">
        <v>34</v>
      </c>
      <c r="I331" s="37" t="s">
        <v>34</v>
      </c>
      <c r="J331" s="37" t="s">
        <v>34</v>
      </c>
      <c r="K331" s="37" t="s">
        <v>34</v>
      </c>
      <c r="L331" s="37" t="s">
        <v>34</v>
      </c>
      <c r="O331" s="58"/>
      <c r="P331" s="57"/>
      <c r="Q331" s="57"/>
      <c r="R331" s="121"/>
      <c r="S331" s="121"/>
      <c r="T331" s="122"/>
      <c r="U331" s="121"/>
      <c r="V331" s="121"/>
      <c r="W331" s="121"/>
      <c r="X331" s="121"/>
      <c r="Y331" s="121"/>
      <c r="Z331" s="121"/>
      <c r="AA331" s="121"/>
    </row>
    <row r="332" spans="2:27">
      <c r="B332" s="37" t="s">
        <v>662</v>
      </c>
      <c r="C332" s="32" t="s">
        <v>637</v>
      </c>
      <c r="D332" s="37" t="s">
        <v>71</v>
      </c>
      <c r="E332" s="39">
        <v>560000</v>
      </c>
      <c r="F332" s="37">
        <v>1983</v>
      </c>
      <c r="G332" s="38" t="s">
        <v>169</v>
      </c>
      <c r="H332" s="37" t="s">
        <v>34</v>
      </c>
      <c r="I332" s="37" t="s">
        <v>34</v>
      </c>
      <c r="J332" s="37" t="s">
        <v>34</v>
      </c>
      <c r="K332" s="37" t="s">
        <v>34</v>
      </c>
      <c r="L332" s="37" t="s">
        <v>34</v>
      </c>
      <c r="O332" s="58"/>
      <c r="P332" s="57"/>
      <c r="Q332" s="57"/>
      <c r="R332" s="121"/>
      <c r="S332" s="121"/>
      <c r="T332" s="122"/>
      <c r="U332" s="121"/>
      <c r="V332" s="121"/>
      <c r="W332" s="121"/>
      <c r="X332" s="121"/>
      <c r="Y332" s="121"/>
      <c r="Z332" s="121"/>
      <c r="AA332" s="121"/>
    </row>
    <row r="333" spans="2:27">
      <c r="B333" s="37" t="s">
        <v>663</v>
      </c>
      <c r="C333" s="32" t="s">
        <v>637</v>
      </c>
      <c r="D333" s="37" t="s">
        <v>14</v>
      </c>
      <c r="E333" s="39">
        <v>850000</v>
      </c>
      <c r="F333" s="37">
        <v>2011</v>
      </c>
      <c r="G333" s="38" t="s">
        <v>536</v>
      </c>
      <c r="H333" s="37" t="s">
        <v>34</v>
      </c>
      <c r="I333" s="37" t="s">
        <v>34</v>
      </c>
      <c r="J333" s="37" t="s">
        <v>34</v>
      </c>
      <c r="K333" s="37" t="s">
        <v>34</v>
      </c>
      <c r="L333" s="37" t="s">
        <v>34</v>
      </c>
      <c r="O333" s="58"/>
      <c r="P333" s="57"/>
      <c r="Q333" s="57"/>
      <c r="R333" s="121"/>
      <c r="S333" s="121"/>
      <c r="T333" s="122"/>
      <c r="U333" s="121"/>
      <c r="V333" s="121"/>
      <c r="W333" s="121"/>
      <c r="X333" s="121"/>
      <c r="Y333" s="121"/>
      <c r="Z333" s="121"/>
      <c r="AA333" s="121"/>
    </row>
    <row r="334" spans="2:27">
      <c r="B334" s="37" t="s">
        <v>664</v>
      </c>
      <c r="C334" s="32" t="s">
        <v>637</v>
      </c>
      <c r="D334" s="37" t="s">
        <v>14</v>
      </c>
      <c r="E334" s="39">
        <v>888000</v>
      </c>
      <c r="F334" s="37">
        <v>2011</v>
      </c>
      <c r="G334" s="38" t="s">
        <v>536</v>
      </c>
      <c r="H334" s="37" t="s">
        <v>34</v>
      </c>
      <c r="I334" s="37" t="s">
        <v>34</v>
      </c>
      <c r="J334" s="37" t="s">
        <v>34</v>
      </c>
      <c r="K334" s="37" t="s">
        <v>34</v>
      </c>
      <c r="L334" s="37" t="s">
        <v>34</v>
      </c>
      <c r="O334" s="58"/>
      <c r="P334" s="57"/>
      <c r="Q334" s="57"/>
      <c r="R334" s="121"/>
      <c r="S334" s="121"/>
      <c r="T334" s="122"/>
      <c r="U334" s="121"/>
      <c r="V334" s="121"/>
      <c r="W334" s="121"/>
      <c r="X334" s="121"/>
      <c r="Y334" s="121"/>
      <c r="Z334" s="121"/>
      <c r="AA334" s="121"/>
    </row>
    <row r="335" spans="2:27">
      <c r="B335" s="37" t="s">
        <v>665</v>
      </c>
      <c r="C335" s="32" t="s">
        <v>637</v>
      </c>
      <c r="D335" s="37" t="s">
        <v>14</v>
      </c>
      <c r="E335" s="39">
        <v>700000</v>
      </c>
      <c r="F335" s="37">
        <v>1988</v>
      </c>
      <c r="G335" s="38" t="s">
        <v>163</v>
      </c>
      <c r="H335" s="37" t="s">
        <v>34</v>
      </c>
      <c r="I335" s="37" t="s">
        <v>34</v>
      </c>
      <c r="J335" s="37" t="s">
        <v>34</v>
      </c>
      <c r="K335" s="37" t="s">
        <v>34</v>
      </c>
      <c r="L335" s="37" t="s">
        <v>34</v>
      </c>
      <c r="O335" s="58"/>
      <c r="P335" s="57"/>
      <c r="Q335" s="57"/>
      <c r="R335" s="121"/>
      <c r="S335" s="121"/>
      <c r="T335" s="122"/>
      <c r="U335" s="121"/>
      <c r="V335" s="121"/>
      <c r="W335" s="121"/>
      <c r="X335" s="121"/>
      <c r="Y335" s="121"/>
      <c r="Z335" s="121"/>
      <c r="AA335" s="121"/>
    </row>
    <row r="336" spans="2:27">
      <c r="B336" s="37" t="s">
        <v>666</v>
      </c>
      <c r="C336" s="32" t="s">
        <v>637</v>
      </c>
      <c r="D336" s="37" t="s">
        <v>14</v>
      </c>
      <c r="E336" s="39">
        <v>730000</v>
      </c>
      <c r="F336" s="37">
        <v>1993</v>
      </c>
      <c r="G336" s="38" t="s">
        <v>658</v>
      </c>
      <c r="H336" s="37" t="s">
        <v>34</v>
      </c>
      <c r="I336" s="37" t="s">
        <v>35</v>
      </c>
      <c r="J336" s="37" t="s">
        <v>34</v>
      </c>
      <c r="K336" s="37" t="s">
        <v>34</v>
      </c>
      <c r="L336" s="37" t="s">
        <v>34</v>
      </c>
      <c r="O336" s="58"/>
      <c r="P336" s="57"/>
      <c r="Q336" s="57"/>
      <c r="R336" s="121"/>
      <c r="S336" s="121"/>
      <c r="T336" s="122"/>
      <c r="U336" s="121"/>
      <c r="V336" s="121"/>
      <c r="W336" s="121"/>
      <c r="X336" s="121"/>
      <c r="Y336" s="121"/>
      <c r="Z336" s="121"/>
      <c r="AA336" s="121"/>
    </row>
    <row r="337" spans="2:27">
      <c r="B337" s="37" t="s">
        <v>667</v>
      </c>
      <c r="C337" s="32" t="s">
        <v>637</v>
      </c>
      <c r="D337" s="37" t="s">
        <v>14</v>
      </c>
      <c r="E337" s="39">
        <v>662000</v>
      </c>
      <c r="F337" s="37">
        <v>1997</v>
      </c>
      <c r="G337" s="38" t="s">
        <v>330</v>
      </c>
      <c r="H337" s="37" t="s">
        <v>34</v>
      </c>
      <c r="I337" s="37" t="s">
        <v>35</v>
      </c>
      <c r="J337" s="37" t="s">
        <v>35</v>
      </c>
      <c r="K337" s="37" t="s">
        <v>34</v>
      </c>
      <c r="L337" s="37" t="s">
        <v>35</v>
      </c>
      <c r="O337" s="58"/>
      <c r="P337" s="57"/>
      <c r="Q337" s="57"/>
      <c r="R337" s="121"/>
      <c r="S337" s="121"/>
      <c r="T337" s="122"/>
      <c r="U337" s="121"/>
      <c r="V337" s="121"/>
      <c r="W337" s="121"/>
      <c r="X337" s="121"/>
      <c r="Y337" s="121"/>
      <c r="Z337" s="121"/>
      <c r="AA337" s="121"/>
    </row>
    <row r="338" spans="2:27">
      <c r="B338" s="37" t="s">
        <v>668</v>
      </c>
      <c r="C338" s="32" t="s">
        <v>637</v>
      </c>
      <c r="D338" s="37" t="s">
        <v>14</v>
      </c>
      <c r="E338" s="39">
        <v>668000</v>
      </c>
      <c r="F338" s="37">
        <v>1989</v>
      </c>
      <c r="G338" s="38" t="s">
        <v>633</v>
      </c>
      <c r="H338" s="37" t="s">
        <v>34</v>
      </c>
      <c r="I338" s="37" t="s">
        <v>35</v>
      </c>
      <c r="J338" s="37" t="s">
        <v>34</v>
      </c>
      <c r="K338" s="37" t="s">
        <v>34</v>
      </c>
      <c r="L338" s="37" t="s">
        <v>34</v>
      </c>
      <c r="O338" s="58"/>
      <c r="P338" s="57"/>
      <c r="Q338" s="57"/>
      <c r="R338" s="121"/>
      <c r="S338" s="121"/>
      <c r="T338" s="122"/>
      <c r="U338" s="121"/>
      <c r="V338" s="121"/>
      <c r="W338" s="121"/>
      <c r="X338" s="121"/>
      <c r="Y338" s="121"/>
      <c r="Z338" s="121"/>
      <c r="AA338" s="121"/>
    </row>
    <row r="339" spans="2:27">
      <c r="B339" s="37" t="s">
        <v>669</v>
      </c>
      <c r="C339" s="32" t="s">
        <v>637</v>
      </c>
      <c r="D339" s="37" t="s">
        <v>177</v>
      </c>
      <c r="E339" s="39">
        <v>850000</v>
      </c>
      <c r="F339" s="37">
        <v>1986</v>
      </c>
      <c r="G339" s="38" t="s">
        <v>670</v>
      </c>
      <c r="H339" s="37" t="s">
        <v>35</v>
      </c>
      <c r="I339" s="37" t="s">
        <v>34</v>
      </c>
      <c r="J339" s="37" t="s">
        <v>34</v>
      </c>
      <c r="K339" s="37" t="s">
        <v>34</v>
      </c>
      <c r="L339" s="37" t="s">
        <v>35</v>
      </c>
      <c r="O339" s="58"/>
      <c r="P339" s="57"/>
      <c r="Q339" s="57"/>
      <c r="R339" s="121"/>
      <c r="S339" s="121"/>
      <c r="T339" s="122"/>
      <c r="U339" s="121"/>
      <c r="V339" s="121"/>
      <c r="W339" s="121"/>
      <c r="X339" s="121"/>
      <c r="Y339" s="121"/>
      <c r="Z339" s="121"/>
      <c r="AA339" s="121"/>
    </row>
    <row r="340" spans="2:27">
      <c r="B340" s="37" t="s">
        <v>669</v>
      </c>
      <c r="C340" s="32" t="s">
        <v>637</v>
      </c>
      <c r="D340" s="37" t="s">
        <v>177</v>
      </c>
      <c r="E340" s="39">
        <v>818000</v>
      </c>
      <c r="F340" s="37">
        <v>1986</v>
      </c>
      <c r="G340" s="38" t="s">
        <v>670</v>
      </c>
      <c r="H340" s="37" t="s">
        <v>35</v>
      </c>
      <c r="I340" s="37" t="s">
        <v>34</v>
      </c>
      <c r="J340" s="37" t="s">
        <v>34</v>
      </c>
      <c r="K340" s="37" t="s">
        <v>34</v>
      </c>
      <c r="L340" s="37" t="s">
        <v>35</v>
      </c>
      <c r="O340" s="58"/>
      <c r="P340" s="57"/>
      <c r="Q340" s="57"/>
      <c r="R340" s="121"/>
      <c r="S340" s="121"/>
      <c r="T340" s="122"/>
      <c r="U340" s="121"/>
      <c r="V340" s="121"/>
      <c r="W340" s="121"/>
      <c r="X340" s="121"/>
      <c r="Y340" s="121"/>
      <c r="Z340" s="121"/>
      <c r="AA340" s="121"/>
    </row>
    <row r="341" spans="2:27">
      <c r="B341" s="37" t="s">
        <v>671</v>
      </c>
      <c r="C341" s="32" t="s">
        <v>637</v>
      </c>
      <c r="D341" s="37" t="s">
        <v>177</v>
      </c>
      <c r="E341" s="39">
        <v>788000</v>
      </c>
      <c r="F341" s="37">
        <v>1985</v>
      </c>
      <c r="G341" s="38" t="s">
        <v>635</v>
      </c>
      <c r="H341" s="37" t="s">
        <v>34</v>
      </c>
      <c r="I341" s="37" t="s">
        <v>34</v>
      </c>
      <c r="J341" s="37" t="s">
        <v>34</v>
      </c>
      <c r="K341" s="37" t="s">
        <v>34</v>
      </c>
      <c r="L341" s="37" t="s">
        <v>35</v>
      </c>
      <c r="O341" s="58"/>
      <c r="P341" s="57"/>
      <c r="Q341" s="57"/>
      <c r="R341" s="121"/>
      <c r="S341" s="121"/>
      <c r="T341" s="122"/>
      <c r="U341" s="121"/>
      <c r="V341" s="121"/>
      <c r="W341" s="121"/>
      <c r="X341" s="121"/>
      <c r="Y341" s="121"/>
      <c r="Z341" s="121"/>
      <c r="AA341" s="121"/>
    </row>
    <row r="342" spans="2:27">
      <c r="B342" s="37" t="s">
        <v>671</v>
      </c>
      <c r="C342" s="32" t="s">
        <v>637</v>
      </c>
      <c r="D342" s="37" t="s">
        <v>177</v>
      </c>
      <c r="E342" s="39">
        <v>810000</v>
      </c>
      <c r="F342" s="37">
        <v>1985</v>
      </c>
      <c r="G342" s="38" t="s">
        <v>635</v>
      </c>
      <c r="H342" s="37" t="s">
        <v>34</v>
      </c>
      <c r="I342" s="37" t="s">
        <v>34</v>
      </c>
      <c r="J342" s="37" t="s">
        <v>34</v>
      </c>
      <c r="K342" s="37" t="s">
        <v>34</v>
      </c>
      <c r="L342" s="37" t="s">
        <v>35</v>
      </c>
      <c r="O342" s="58"/>
      <c r="P342" s="57"/>
      <c r="Q342" s="57"/>
      <c r="R342" s="121"/>
      <c r="S342" s="121"/>
      <c r="T342" s="122"/>
      <c r="U342" s="121"/>
      <c r="V342" s="121"/>
      <c r="W342" s="121"/>
      <c r="X342" s="121"/>
      <c r="Y342" s="121"/>
      <c r="Z342" s="121"/>
      <c r="AA342" s="121"/>
    </row>
    <row r="343" spans="2:27">
      <c r="B343" s="37" t="s">
        <v>672</v>
      </c>
      <c r="C343" s="32" t="s">
        <v>673</v>
      </c>
      <c r="D343" s="37" t="s">
        <v>82</v>
      </c>
      <c r="E343" s="39">
        <v>365000</v>
      </c>
      <c r="F343" s="37">
        <v>1970</v>
      </c>
      <c r="G343" s="38" t="s">
        <v>674</v>
      </c>
      <c r="H343" s="37" t="s">
        <v>34</v>
      </c>
      <c r="I343" s="37" t="s">
        <v>35</v>
      </c>
      <c r="J343" s="37" t="s">
        <v>34</v>
      </c>
      <c r="K343" s="37" t="s">
        <v>34</v>
      </c>
      <c r="L343" s="37" t="s">
        <v>34</v>
      </c>
      <c r="O343" s="58"/>
      <c r="P343" s="57"/>
      <c r="Q343" s="57"/>
      <c r="R343" s="121"/>
      <c r="S343" s="121"/>
      <c r="T343" s="122"/>
      <c r="U343" s="121"/>
      <c r="V343" s="121"/>
      <c r="W343" s="121"/>
      <c r="X343" s="121"/>
      <c r="Y343" s="121"/>
      <c r="Z343" s="121"/>
      <c r="AA343" s="121"/>
    </row>
    <row r="344" spans="2:27">
      <c r="B344" s="37" t="s">
        <v>675</v>
      </c>
      <c r="C344" s="32" t="s">
        <v>673</v>
      </c>
      <c r="D344" s="37" t="s">
        <v>82</v>
      </c>
      <c r="E344" s="39">
        <v>310000</v>
      </c>
      <c r="F344" s="37">
        <v>1972</v>
      </c>
      <c r="G344" s="38" t="s">
        <v>150</v>
      </c>
      <c r="H344" s="37" t="s">
        <v>34</v>
      </c>
      <c r="I344" s="37" t="s">
        <v>35</v>
      </c>
      <c r="J344" s="37" t="s">
        <v>34</v>
      </c>
      <c r="K344" s="37" t="s">
        <v>34</v>
      </c>
      <c r="L344" s="37" t="s">
        <v>34</v>
      </c>
      <c r="O344" s="58"/>
      <c r="P344" s="57"/>
      <c r="Q344" s="57"/>
      <c r="R344" s="121"/>
      <c r="S344" s="121"/>
      <c r="T344" s="122"/>
      <c r="U344" s="121"/>
      <c r="V344" s="121"/>
      <c r="W344" s="121"/>
      <c r="X344" s="121"/>
      <c r="Y344" s="121"/>
      <c r="Z344" s="121"/>
      <c r="AA344" s="121"/>
    </row>
    <row r="345" spans="2:27">
      <c r="B345" s="37" t="s">
        <v>676</v>
      </c>
      <c r="C345" s="32" t="s">
        <v>673</v>
      </c>
      <c r="D345" s="37" t="s">
        <v>82</v>
      </c>
      <c r="E345" s="39">
        <v>485000</v>
      </c>
      <c r="F345" s="37">
        <v>1972</v>
      </c>
      <c r="G345" s="38" t="s">
        <v>677</v>
      </c>
      <c r="H345" s="37" t="s">
        <v>34</v>
      </c>
      <c r="I345" s="37" t="s">
        <v>35</v>
      </c>
      <c r="J345" s="37" t="s">
        <v>34</v>
      </c>
      <c r="K345" s="37" t="s">
        <v>34</v>
      </c>
      <c r="L345" s="37" t="s">
        <v>34</v>
      </c>
      <c r="O345" s="58"/>
      <c r="P345" s="57"/>
      <c r="Q345" s="57"/>
      <c r="R345" s="121"/>
      <c r="S345" s="121"/>
      <c r="T345" s="122"/>
      <c r="U345" s="121"/>
      <c r="V345" s="121"/>
      <c r="W345" s="121"/>
      <c r="X345" s="121"/>
      <c r="Y345" s="121"/>
      <c r="Z345" s="121"/>
      <c r="AA345" s="121"/>
    </row>
    <row r="346" spans="2:27">
      <c r="B346" s="37" t="s">
        <v>678</v>
      </c>
      <c r="C346" s="32" t="s">
        <v>673</v>
      </c>
      <c r="D346" s="37" t="s">
        <v>82</v>
      </c>
      <c r="E346" s="39">
        <v>348000</v>
      </c>
      <c r="F346" s="37">
        <v>1970</v>
      </c>
      <c r="G346" s="38" t="s">
        <v>679</v>
      </c>
      <c r="H346" s="37" t="s">
        <v>34</v>
      </c>
      <c r="I346" s="37" t="s">
        <v>35</v>
      </c>
      <c r="J346" s="37" t="s">
        <v>34</v>
      </c>
      <c r="K346" s="37" t="s">
        <v>34</v>
      </c>
      <c r="L346" s="37" t="s">
        <v>35</v>
      </c>
      <c r="O346" s="58"/>
      <c r="P346" s="57"/>
      <c r="Q346" s="57"/>
      <c r="R346" s="121"/>
      <c r="S346" s="121"/>
      <c r="T346" s="122"/>
      <c r="U346" s="121"/>
      <c r="V346" s="121"/>
      <c r="W346" s="121"/>
      <c r="X346" s="121"/>
      <c r="Y346" s="121"/>
      <c r="Z346" s="121"/>
      <c r="AA346" s="121"/>
    </row>
    <row r="347" spans="2:27">
      <c r="B347" s="37" t="s">
        <v>680</v>
      </c>
      <c r="C347" s="32" t="s">
        <v>673</v>
      </c>
      <c r="D347" s="37" t="s">
        <v>82</v>
      </c>
      <c r="E347" s="39">
        <v>355000</v>
      </c>
      <c r="F347" s="37">
        <v>1976</v>
      </c>
      <c r="G347" s="38" t="s">
        <v>681</v>
      </c>
      <c r="H347" s="37" t="s">
        <v>34</v>
      </c>
      <c r="I347" s="37" t="s">
        <v>35</v>
      </c>
      <c r="J347" s="37" t="s">
        <v>34</v>
      </c>
      <c r="K347" s="37" t="s">
        <v>34</v>
      </c>
      <c r="L347" s="37" t="s">
        <v>35</v>
      </c>
      <c r="O347" s="58"/>
      <c r="P347" s="57"/>
      <c r="Q347" s="57"/>
      <c r="R347" s="121"/>
      <c r="S347" s="121"/>
      <c r="T347" s="122"/>
      <c r="U347" s="121"/>
      <c r="V347" s="121"/>
      <c r="W347" s="121"/>
      <c r="X347" s="121"/>
      <c r="Y347" s="121"/>
      <c r="Z347" s="121"/>
      <c r="AA347" s="121"/>
    </row>
    <row r="348" spans="2:27">
      <c r="B348" s="37" t="s">
        <v>682</v>
      </c>
      <c r="C348" s="32" t="s">
        <v>673</v>
      </c>
      <c r="D348" s="37" t="s">
        <v>71</v>
      </c>
      <c r="E348" s="39">
        <v>1025000</v>
      </c>
      <c r="F348" s="37">
        <v>2018</v>
      </c>
      <c r="G348" s="38" t="s">
        <v>518</v>
      </c>
      <c r="H348" s="37" t="s">
        <v>34</v>
      </c>
      <c r="I348" s="37" t="s">
        <v>35</v>
      </c>
      <c r="J348" s="37" t="s">
        <v>34</v>
      </c>
      <c r="K348" s="37" t="s">
        <v>34</v>
      </c>
      <c r="L348" s="37" t="s">
        <v>34</v>
      </c>
      <c r="O348" s="58"/>
      <c r="P348" s="57"/>
      <c r="Q348" s="57"/>
      <c r="R348" s="121"/>
      <c r="S348" s="121"/>
      <c r="T348" s="122"/>
      <c r="U348" s="121"/>
      <c r="V348" s="121"/>
      <c r="W348" s="121"/>
      <c r="X348" s="121"/>
      <c r="Y348" s="121"/>
      <c r="Z348" s="121"/>
      <c r="AA348" s="121"/>
    </row>
    <row r="349" spans="2:27">
      <c r="B349" s="37" t="s">
        <v>683</v>
      </c>
      <c r="C349" s="32" t="s">
        <v>673</v>
      </c>
      <c r="D349" s="37" t="s">
        <v>71</v>
      </c>
      <c r="E349" s="39">
        <v>750000</v>
      </c>
      <c r="F349" s="37">
        <v>2006</v>
      </c>
      <c r="G349" s="38" t="s">
        <v>684</v>
      </c>
      <c r="H349" s="37" t="s">
        <v>34</v>
      </c>
      <c r="I349" s="37" t="s">
        <v>35</v>
      </c>
      <c r="J349" s="37" t="s">
        <v>35</v>
      </c>
      <c r="K349" s="37" t="s">
        <v>34</v>
      </c>
      <c r="L349" s="37" t="s">
        <v>35</v>
      </c>
      <c r="O349" s="58"/>
      <c r="P349" s="57"/>
      <c r="Q349" s="57"/>
      <c r="R349" s="121"/>
      <c r="S349" s="121"/>
      <c r="T349" s="122"/>
      <c r="U349" s="121"/>
      <c r="V349" s="121"/>
      <c r="W349" s="121"/>
      <c r="X349" s="121"/>
      <c r="Y349" s="121"/>
      <c r="Z349" s="121"/>
      <c r="AA349" s="121"/>
    </row>
    <row r="350" spans="2:27">
      <c r="B350" s="37" t="s">
        <v>685</v>
      </c>
      <c r="C350" s="32" t="s">
        <v>673</v>
      </c>
      <c r="D350" s="37" t="s">
        <v>71</v>
      </c>
      <c r="E350" s="39">
        <v>713000</v>
      </c>
      <c r="F350" s="37">
        <v>1984</v>
      </c>
      <c r="G350" s="38" t="s">
        <v>423</v>
      </c>
      <c r="H350" s="37" t="s">
        <v>34</v>
      </c>
      <c r="I350" s="37" t="s">
        <v>35</v>
      </c>
      <c r="J350" s="37" t="s">
        <v>34</v>
      </c>
      <c r="K350" s="37" t="s">
        <v>34</v>
      </c>
      <c r="L350" s="37" t="s">
        <v>35</v>
      </c>
      <c r="O350" s="58"/>
      <c r="P350" s="57"/>
      <c r="Q350" s="57"/>
      <c r="R350" s="121"/>
      <c r="S350" s="121"/>
      <c r="T350" s="122"/>
      <c r="U350" s="121"/>
      <c r="V350" s="121"/>
      <c r="W350" s="121"/>
      <c r="X350" s="121"/>
      <c r="Y350" s="121"/>
      <c r="Z350" s="121"/>
      <c r="AA350" s="121"/>
    </row>
    <row r="351" spans="2:27">
      <c r="B351" s="37" t="s">
        <v>686</v>
      </c>
      <c r="C351" s="32" t="s">
        <v>673</v>
      </c>
      <c r="D351" s="37" t="s">
        <v>71</v>
      </c>
      <c r="E351" s="39">
        <v>838000</v>
      </c>
      <c r="F351" s="37">
        <v>2009</v>
      </c>
      <c r="G351" s="38" t="s">
        <v>687</v>
      </c>
      <c r="H351" s="37" t="s">
        <v>34</v>
      </c>
      <c r="I351" s="37" t="s">
        <v>34</v>
      </c>
      <c r="J351" s="37" t="s">
        <v>34</v>
      </c>
      <c r="K351" s="37" t="s">
        <v>34</v>
      </c>
      <c r="L351" s="37" t="s">
        <v>34</v>
      </c>
      <c r="O351" s="58"/>
      <c r="P351" s="57"/>
      <c r="Q351" s="57"/>
      <c r="R351" s="121"/>
      <c r="S351" s="121"/>
      <c r="T351" s="122"/>
      <c r="U351" s="121"/>
      <c r="V351" s="121"/>
      <c r="W351" s="121"/>
      <c r="X351" s="121"/>
      <c r="Y351" s="121"/>
      <c r="Z351" s="121"/>
      <c r="AA351" s="121"/>
    </row>
    <row r="352" spans="2:27">
      <c r="B352" s="37" t="s">
        <v>688</v>
      </c>
      <c r="C352" s="32" t="s">
        <v>673</v>
      </c>
      <c r="D352" s="37" t="s">
        <v>71</v>
      </c>
      <c r="E352" s="39">
        <v>1000088</v>
      </c>
      <c r="F352" s="37">
        <v>2019</v>
      </c>
      <c r="G352" s="38" t="s">
        <v>381</v>
      </c>
      <c r="H352" s="37" t="s">
        <v>34</v>
      </c>
      <c r="I352" s="37" t="s">
        <v>34</v>
      </c>
      <c r="J352" s="37" t="s">
        <v>34</v>
      </c>
      <c r="K352" s="37" t="s">
        <v>34</v>
      </c>
      <c r="L352" s="37" t="s">
        <v>35</v>
      </c>
      <c r="O352" s="58"/>
      <c r="P352" s="57"/>
      <c r="Q352" s="57"/>
      <c r="R352" s="121"/>
      <c r="S352" s="121"/>
      <c r="T352" s="122"/>
      <c r="U352" s="121"/>
      <c r="V352" s="121"/>
      <c r="W352" s="121"/>
      <c r="X352" s="121"/>
      <c r="Y352" s="121"/>
      <c r="Z352" s="121"/>
      <c r="AA352" s="121"/>
    </row>
    <row r="353" spans="2:27">
      <c r="B353" s="37" t="s">
        <v>689</v>
      </c>
      <c r="C353" s="32" t="s">
        <v>673</v>
      </c>
      <c r="D353" s="37" t="s">
        <v>14</v>
      </c>
      <c r="E353" s="39">
        <v>682000</v>
      </c>
      <c r="F353" s="37">
        <v>1983</v>
      </c>
      <c r="G353" s="38" t="s">
        <v>690</v>
      </c>
      <c r="H353" s="37" t="s">
        <v>34</v>
      </c>
      <c r="I353" s="37" t="s">
        <v>34</v>
      </c>
      <c r="J353" s="37" t="s">
        <v>35</v>
      </c>
      <c r="K353" s="37" t="s">
        <v>34</v>
      </c>
      <c r="L353" s="37" t="s">
        <v>35</v>
      </c>
      <c r="O353" s="58"/>
      <c r="P353" s="57"/>
      <c r="Q353" s="57"/>
      <c r="R353" s="121"/>
      <c r="S353" s="121"/>
      <c r="T353" s="122"/>
      <c r="U353" s="121"/>
      <c r="V353" s="121"/>
      <c r="W353" s="121"/>
      <c r="X353" s="121"/>
      <c r="Y353" s="121"/>
      <c r="Z353" s="121"/>
      <c r="AA353" s="121"/>
    </row>
    <row r="354" spans="2:27">
      <c r="B354" s="37" t="s">
        <v>691</v>
      </c>
      <c r="C354" s="32" t="s">
        <v>673</v>
      </c>
      <c r="D354" s="37" t="s">
        <v>14</v>
      </c>
      <c r="E354" s="39">
        <v>698000</v>
      </c>
      <c r="F354" s="37">
        <v>1975</v>
      </c>
      <c r="G354" s="38" t="s">
        <v>692</v>
      </c>
      <c r="H354" s="37" t="s">
        <v>34</v>
      </c>
      <c r="I354" s="37" t="s">
        <v>35</v>
      </c>
      <c r="J354" s="37" t="s">
        <v>34</v>
      </c>
      <c r="K354" s="37" t="s">
        <v>34</v>
      </c>
      <c r="L354" s="37" t="s">
        <v>35</v>
      </c>
      <c r="O354" s="58"/>
      <c r="P354" s="57"/>
      <c r="Q354" s="57"/>
      <c r="R354" s="121"/>
      <c r="S354" s="121"/>
      <c r="T354" s="122"/>
      <c r="U354" s="121"/>
      <c r="V354" s="121"/>
      <c r="W354" s="121"/>
      <c r="X354" s="121"/>
      <c r="Y354" s="121"/>
      <c r="Z354" s="121"/>
      <c r="AA354" s="121"/>
    </row>
    <row r="355" spans="2:27">
      <c r="B355" s="37" t="s">
        <v>693</v>
      </c>
      <c r="C355" s="40" t="s">
        <v>107</v>
      </c>
      <c r="D355" s="37" t="s">
        <v>31</v>
      </c>
      <c r="E355" s="39">
        <v>320000</v>
      </c>
      <c r="F355" s="37">
        <v>2018</v>
      </c>
      <c r="G355" s="38" t="s">
        <v>694</v>
      </c>
      <c r="H355" s="37" t="s">
        <v>34</v>
      </c>
      <c r="I355" s="37" t="s">
        <v>34</v>
      </c>
      <c r="J355" s="37" t="s">
        <v>34</v>
      </c>
      <c r="K355" s="37" t="s">
        <v>34</v>
      </c>
      <c r="L355" s="37" t="s">
        <v>34</v>
      </c>
      <c r="O355" s="58"/>
      <c r="P355" s="57"/>
      <c r="Q355" s="57"/>
      <c r="R355" s="121"/>
      <c r="S355" s="121"/>
      <c r="T355" s="122"/>
      <c r="U355" s="121"/>
      <c r="V355" s="121"/>
      <c r="W355" s="121"/>
      <c r="X355" s="121"/>
      <c r="Y355" s="121"/>
      <c r="Z355" s="121"/>
      <c r="AA355" s="121"/>
    </row>
    <row r="356" spans="2:27">
      <c r="B356" s="37" t="s">
        <v>695</v>
      </c>
      <c r="C356" s="40" t="s">
        <v>107</v>
      </c>
      <c r="D356" s="37" t="s">
        <v>31</v>
      </c>
      <c r="E356" s="39">
        <v>335000</v>
      </c>
      <c r="F356" s="37">
        <v>2018</v>
      </c>
      <c r="G356" s="38" t="s">
        <v>696</v>
      </c>
      <c r="H356" s="37" t="s">
        <v>34</v>
      </c>
      <c r="I356" s="37" t="s">
        <v>35</v>
      </c>
      <c r="J356" s="37" t="s">
        <v>34</v>
      </c>
      <c r="K356" s="37" t="s">
        <v>34</v>
      </c>
      <c r="L356" s="37" t="s">
        <v>34</v>
      </c>
      <c r="O356" s="58"/>
      <c r="P356" s="57"/>
      <c r="Q356" s="57"/>
      <c r="R356" s="121"/>
      <c r="S356" s="121"/>
      <c r="T356" s="122"/>
      <c r="U356" s="121"/>
      <c r="V356" s="121"/>
      <c r="W356" s="121"/>
      <c r="X356" s="121"/>
      <c r="Y356" s="121"/>
      <c r="Z356" s="121"/>
      <c r="AA356" s="121"/>
    </row>
    <row r="357" spans="2:27">
      <c r="B357" s="37" t="s">
        <v>697</v>
      </c>
      <c r="C357" s="40" t="s">
        <v>107</v>
      </c>
      <c r="D357" s="37" t="s">
        <v>31</v>
      </c>
      <c r="E357" s="39">
        <v>330000</v>
      </c>
      <c r="F357" s="37">
        <v>2019</v>
      </c>
      <c r="G357" s="38" t="s">
        <v>236</v>
      </c>
      <c r="H357" s="37" t="s">
        <v>34</v>
      </c>
      <c r="I357" s="37" t="s">
        <v>34</v>
      </c>
      <c r="J357" s="37" t="s">
        <v>35</v>
      </c>
      <c r="K357" s="37" t="s">
        <v>34</v>
      </c>
      <c r="L357" s="37" t="s">
        <v>34</v>
      </c>
      <c r="O357" s="58"/>
      <c r="P357" s="57"/>
      <c r="Q357" s="57"/>
      <c r="R357" s="121"/>
      <c r="S357" s="121"/>
      <c r="T357" s="122"/>
      <c r="U357" s="121"/>
      <c r="V357" s="121"/>
      <c r="W357" s="121"/>
      <c r="X357" s="121"/>
      <c r="Y357" s="121"/>
      <c r="Z357" s="121"/>
      <c r="AA357" s="121"/>
    </row>
    <row r="358" spans="2:27">
      <c r="B358" s="37" t="s">
        <v>698</v>
      </c>
      <c r="C358" s="40" t="s">
        <v>107</v>
      </c>
      <c r="D358" s="37" t="s">
        <v>82</v>
      </c>
      <c r="E358" s="39">
        <v>393000</v>
      </c>
      <c r="F358" s="37">
        <v>1981</v>
      </c>
      <c r="G358" s="38" t="s">
        <v>699</v>
      </c>
      <c r="H358" s="37" t="s">
        <v>35</v>
      </c>
      <c r="I358" s="37" t="s">
        <v>35</v>
      </c>
      <c r="J358" s="37" t="s">
        <v>34</v>
      </c>
      <c r="K358" s="37" t="s">
        <v>34</v>
      </c>
      <c r="L358" s="37" t="s">
        <v>35</v>
      </c>
      <c r="O358" s="58"/>
      <c r="P358" s="57"/>
      <c r="Q358" s="57"/>
      <c r="R358" s="121"/>
      <c r="S358" s="121"/>
      <c r="T358" s="122"/>
      <c r="U358" s="121"/>
      <c r="V358" s="121"/>
      <c r="W358" s="121"/>
      <c r="X358" s="121"/>
      <c r="Y358" s="121"/>
      <c r="Z358" s="121"/>
      <c r="AA358" s="121"/>
    </row>
    <row r="359" spans="2:27">
      <c r="B359" s="37" t="s">
        <v>700</v>
      </c>
      <c r="C359" s="40" t="s">
        <v>107</v>
      </c>
      <c r="D359" s="37" t="s">
        <v>82</v>
      </c>
      <c r="E359" s="39">
        <v>335000</v>
      </c>
      <c r="F359" s="37">
        <v>1976</v>
      </c>
      <c r="G359" s="38" t="s">
        <v>701</v>
      </c>
      <c r="H359" s="37" t="s">
        <v>34</v>
      </c>
      <c r="I359" s="37" t="s">
        <v>35</v>
      </c>
      <c r="J359" s="37" t="s">
        <v>35</v>
      </c>
      <c r="K359" s="37" t="s">
        <v>34</v>
      </c>
      <c r="L359" s="37" t="s">
        <v>35</v>
      </c>
      <c r="O359" s="58"/>
      <c r="P359" s="57"/>
      <c r="Q359" s="57"/>
      <c r="R359" s="121"/>
      <c r="S359" s="121"/>
      <c r="T359" s="122"/>
      <c r="U359" s="121"/>
      <c r="V359" s="121"/>
      <c r="W359" s="121"/>
      <c r="X359" s="121"/>
      <c r="Y359" s="121"/>
      <c r="Z359" s="121"/>
      <c r="AA359" s="121"/>
    </row>
    <row r="360" spans="2:27">
      <c r="B360" s="37" t="s">
        <v>702</v>
      </c>
      <c r="C360" s="40" t="s">
        <v>107</v>
      </c>
      <c r="D360" s="37" t="s">
        <v>82</v>
      </c>
      <c r="E360" s="39">
        <v>345000</v>
      </c>
      <c r="F360" s="37">
        <v>1985</v>
      </c>
      <c r="G360" s="38" t="s">
        <v>133</v>
      </c>
      <c r="H360" s="37" t="s">
        <v>34</v>
      </c>
      <c r="I360" s="37" t="s">
        <v>34</v>
      </c>
      <c r="J360" s="37" t="s">
        <v>35</v>
      </c>
      <c r="K360" s="37" t="s">
        <v>34</v>
      </c>
      <c r="L360" s="37" t="s">
        <v>34</v>
      </c>
      <c r="O360" s="58"/>
      <c r="P360" s="57"/>
      <c r="Q360" s="57"/>
      <c r="R360" s="121"/>
      <c r="S360" s="121"/>
      <c r="T360" s="122"/>
      <c r="U360" s="121"/>
      <c r="V360" s="121"/>
      <c r="W360" s="121"/>
      <c r="X360" s="121"/>
      <c r="Y360" s="121"/>
      <c r="Z360" s="121"/>
      <c r="AA360" s="121"/>
    </row>
    <row r="361" spans="2:27">
      <c r="B361" s="37" t="s">
        <v>695</v>
      </c>
      <c r="C361" s="40" t="s">
        <v>107</v>
      </c>
      <c r="D361" s="37" t="s">
        <v>82</v>
      </c>
      <c r="E361" s="39">
        <v>458000</v>
      </c>
      <c r="F361" s="37">
        <v>2018</v>
      </c>
      <c r="G361" s="38" t="s">
        <v>560</v>
      </c>
      <c r="H361" s="37" t="s">
        <v>34</v>
      </c>
      <c r="I361" s="37" t="s">
        <v>35</v>
      </c>
      <c r="J361" s="37" t="s">
        <v>34</v>
      </c>
      <c r="K361" s="37" t="s">
        <v>34</v>
      </c>
      <c r="L361" s="37" t="s">
        <v>34</v>
      </c>
      <c r="O361" s="58"/>
      <c r="P361" s="57"/>
      <c r="Q361" s="57"/>
      <c r="R361" s="121"/>
      <c r="S361" s="121"/>
      <c r="T361" s="122"/>
      <c r="U361" s="121"/>
      <c r="V361" s="121"/>
      <c r="W361" s="121"/>
      <c r="X361" s="121"/>
      <c r="Y361" s="121"/>
      <c r="Z361" s="121"/>
      <c r="AA361" s="121"/>
    </row>
    <row r="362" spans="2:27">
      <c r="B362" s="37" t="s">
        <v>703</v>
      </c>
      <c r="C362" s="40" t="s">
        <v>107</v>
      </c>
      <c r="D362" s="37" t="s">
        <v>82</v>
      </c>
      <c r="E362" s="39">
        <v>350000</v>
      </c>
      <c r="F362" s="37">
        <v>1985</v>
      </c>
      <c r="G362" s="38" t="s">
        <v>464</v>
      </c>
      <c r="H362" s="37" t="s">
        <v>34</v>
      </c>
      <c r="I362" s="37" t="s">
        <v>35</v>
      </c>
      <c r="J362" s="37" t="s">
        <v>35</v>
      </c>
      <c r="K362" s="37" t="s">
        <v>34</v>
      </c>
      <c r="L362" s="37" t="s">
        <v>35</v>
      </c>
      <c r="O362" s="58"/>
      <c r="P362" s="57"/>
      <c r="Q362" s="57"/>
      <c r="R362" s="121"/>
      <c r="S362" s="121"/>
      <c r="T362" s="122"/>
      <c r="U362" s="121"/>
      <c r="V362" s="121"/>
      <c r="W362" s="121"/>
      <c r="X362" s="121"/>
      <c r="Y362" s="121"/>
      <c r="Z362" s="121"/>
      <c r="AA362" s="121"/>
    </row>
    <row r="363" spans="2:27">
      <c r="B363" s="37" t="s">
        <v>704</v>
      </c>
      <c r="C363" s="40" t="s">
        <v>107</v>
      </c>
      <c r="D363" s="37" t="s">
        <v>71</v>
      </c>
      <c r="E363" s="39">
        <v>515000</v>
      </c>
      <c r="F363" s="37">
        <v>1998</v>
      </c>
      <c r="G363" s="38" t="s">
        <v>705</v>
      </c>
      <c r="H363" s="37" t="s">
        <v>34</v>
      </c>
      <c r="I363" s="37" t="s">
        <v>34</v>
      </c>
      <c r="J363" s="37" t="s">
        <v>34</v>
      </c>
      <c r="K363" s="37" t="s">
        <v>34</v>
      </c>
      <c r="L363" s="37" t="s">
        <v>35</v>
      </c>
      <c r="O363" s="58"/>
      <c r="P363" s="57"/>
      <c r="Q363" s="57"/>
      <c r="R363" s="121"/>
      <c r="S363" s="121"/>
      <c r="T363" s="122"/>
      <c r="U363" s="121"/>
      <c r="V363" s="121"/>
      <c r="W363" s="121"/>
      <c r="X363" s="121"/>
      <c r="Y363" s="121"/>
      <c r="Z363" s="121"/>
      <c r="AA363" s="121"/>
    </row>
    <row r="364" spans="2:27">
      <c r="B364" s="37" t="s">
        <v>706</v>
      </c>
      <c r="C364" s="40" t="s">
        <v>107</v>
      </c>
      <c r="D364" s="37" t="s">
        <v>71</v>
      </c>
      <c r="E364" s="39">
        <v>582000</v>
      </c>
      <c r="F364" s="37">
        <v>2018</v>
      </c>
      <c r="G364" s="38" t="s">
        <v>567</v>
      </c>
      <c r="H364" s="37" t="s">
        <v>34</v>
      </c>
      <c r="I364" s="37" t="s">
        <v>34</v>
      </c>
      <c r="J364" s="37" t="s">
        <v>34</v>
      </c>
      <c r="K364" s="37" t="s">
        <v>34</v>
      </c>
      <c r="L364" s="37" t="s">
        <v>34</v>
      </c>
      <c r="O364" s="58"/>
      <c r="P364" s="57"/>
      <c r="Q364" s="57"/>
      <c r="R364" s="121"/>
      <c r="S364" s="121"/>
      <c r="T364" s="122"/>
      <c r="U364" s="121"/>
      <c r="V364" s="121"/>
      <c r="W364" s="121"/>
      <c r="X364" s="121"/>
      <c r="Y364" s="121"/>
      <c r="Z364" s="121"/>
      <c r="AA364" s="121"/>
    </row>
    <row r="365" spans="2:27">
      <c r="B365" s="37" t="s">
        <v>707</v>
      </c>
      <c r="C365" s="40" t="s">
        <v>107</v>
      </c>
      <c r="D365" s="37" t="s">
        <v>71</v>
      </c>
      <c r="E365" s="39">
        <v>482888</v>
      </c>
      <c r="F365" s="37">
        <v>1996</v>
      </c>
      <c r="G365" s="38" t="s">
        <v>708</v>
      </c>
      <c r="H365" s="37" t="s">
        <v>34</v>
      </c>
      <c r="I365" s="37" t="s">
        <v>35</v>
      </c>
      <c r="J365" s="37" t="s">
        <v>35</v>
      </c>
      <c r="K365" s="37" t="s">
        <v>34</v>
      </c>
      <c r="L365" s="37" t="s">
        <v>35</v>
      </c>
      <c r="O365" s="58"/>
      <c r="P365" s="57"/>
      <c r="Q365" s="57"/>
      <c r="R365" s="121"/>
      <c r="S365" s="121"/>
      <c r="T365" s="122"/>
      <c r="U365" s="121"/>
      <c r="V365" s="121"/>
      <c r="W365" s="121"/>
      <c r="X365" s="121"/>
      <c r="Y365" s="121"/>
      <c r="Z365" s="121"/>
      <c r="AA365" s="121"/>
    </row>
    <row r="366" spans="2:27">
      <c r="B366" s="37" t="s">
        <v>709</v>
      </c>
      <c r="C366" s="40" t="s">
        <v>107</v>
      </c>
      <c r="D366" s="37" t="s">
        <v>71</v>
      </c>
      <c r="E366" s="39">
        <v>540000</v>
      </c>
      <c r="F366" s="37">
        <v>2000</v>
      </c>
      <c r="G366" s="38" t="s">
        <v>710</v>
      </c>
      <c r="H366" s="37" t="s">
        <v>34</v>
      </c>
      <c r="I366" s="37" t="s">
        <v>34</v>
      </c>
      <c r="J366" s="37" t="s">
        <v>35</v>
      </c>
      <c r="K366" s="37" t="s">
        <v>34</v>
      </c>
      <c r="L366" s="37" t="s">
        <v>35</v>
      </c>
      <c r="O366" s="58"/>
      <c r="P366" s="57"/>
      <c r="Q366" s="57"/>
      <c r="R366" s="121"/>
      <c r="S366" s="121"/>
      <c r="T366" s="122"/>
      <c r="U366" s="121"/>
      <c r="V366" s="121"/>
      <c r="W366" s="121"/>
      <c r="X366" s="121"/>
      <c r="Y366" s="121"/>
      <c r="Z366" s="121"/>
      <c r="AA366" s="121"/>
    </row>
    <row r="367" spans="2:27">
      <c r="B367" s="37" t="s">
        <v>711</v>
      </c>
      <c r="C367" s="40" t="s">
        <v>107</v>
      </c>
      <c r="D367" s="37" t="s">
        <v>71</v>
      </c>
      <c r="E367" s="39">
        <v>535000</v>
      </c>
      <c r="F367" s="37">
        <v>1999</v>
      </c>
      <c r="G367" s="38" t="s">
        <v>712</v>
      </c>
      <c r="H367" s="37" t="s">
        <v>34</v>
      </c>
      <c r="I367" s="37" t="s">
        <v>34</v>
      </c>
      <c r="J367" s="37" t="s">
        <v>35</v>
      </c>
      <c r="K367" s="37" t="s">
        <v>34</v>
      </c>
      <c r="L367" s="37" t="s">
        <v>35</v>
      </c>
      <c r="O367" s="58"/>
      <c r="P367" s="57"/>
      <c r="Q367" s="57"/>
      <c r="R367" s="121"/>
      <c r="S367" s="121"/>
      <c r="T367" s="122"/>
      <c r="U367" s="121"/>
      <c r="V367" s="121"/>
      <c r="W367" s="121"/>
      <c r="X367" s="121"/>
      <c r="Y367" s="121"/>
      <c r="Z367" s="121"/>
      <c r="AA367" s="121"/>
    </row>
    <row r="368" spans="2:27">
      <c r="B368" s="37" t="s">
        <v>713</v>
      </c>
      <c r="C368" s="40" t="s">
        <v>107</v>
      </c>
      <c r="D368" s="37" t="s">
        <v>71</v>
      </c>
      <c r="E368" s="39">
        <v>608000</v>
      </c>
      <c r="F368" s="37">
        <v>2018</v>
      </c>
      <c r="G368" s="38" t="s">
        <v>560</v>
      </c>
      <c r="H368" s="37" t="s">
        <v>34</v>
      </c>
      <c r="I368" s="37" t="s">
        <v>35</v>
      </c>
      <c r="J368" s="37" t="s">
        <v>34</v>
      </c>
      <c r="K368" s="37" t="s">
        <v>34</v>
      </c>
      <c r="L368" s="37" t="s">
        <v>34</v>
      </c>
      <c r="O368" s="58"/>
      <c r="P368" s="57"/>
      <c r="Q368" s="57"/>
      <c r="R368" s="121"/>
      <c r="S368" s="121"/>
      <c r="T368" s="122"/>
      <c r="U368" s="121"/>
      <c r="V368" s="121"/>
      <c r="W368" s="121"/>
      <c r="X368" s="121"/>
      <c r="Y368" s="121"/>
      <c r="Z368" s="121"/>
      <c r="AA368" s="121"/>
    </row>
    <row r="369" spans="2:27">
      <c r="B369" s="37" t="s">
        <v>714</v>
      </c>
      <c r="C369" s="40" t="s">
        <v>107</v>
      </c>
      <c r="D369" s="37" t="s">
        <v>71</v>
      </c>
      <c r="E369" s="39">
        <v>485000</v>
      </c>
      <c r="F369" s="37">
        <v>1997</v>
      </c>
      <c r="G369" s="38" t="s">
        <v>715</v>
      </c>
      <c r="H369" s="37" t="s">
        <v>34</v>
      </c>
      <c r="I369" s="37" t="s">
        <v>34</v>
      </c>
      <c r="J369" s="37" t="s">
        <v>34</v>
      </c>
      <c r="K369" s="37" t="s">
        <v>34</v>
      </c>
      <c r="L369" s="37" t="s">
        <v>35</v>
      </c>
      <c r="O369" s="58"/>
      <c r="P369" s="57"/>
      <c r="Q369" s="57"/>
      <c r="R369" s="121"/>
      <c r="S369" s="121"/>
      <c r="T369" s="122"/>
      <c r="U369" s="121"/>
      <c r="V369" s="121"/>
      <c r="W369" s="121"/>
      <c r="X369" s="121"/>
      <c r="Y369" s="121"/>
      <c r="Z369" s="121"/>
      <c r="AA369" s="121"/>
    </row>
    <row r="370" spans="2:27">
      <c r="B370" s="37" t="s">
        <v>716</v>
      </c>
      <c r="C370" s="40" t="s">
        <v>107</v>
      </c>
      <c r="D370" s="37" t="s">
        <v>71</v>
      </c>
      <c r="E370" s="39">
        <v>594000</v>
      </c>
      <c r="F370" s="37">
        <v>2017</v>
      </c>
      <c r="G370" s="38" t="s">
        <v>717</v>
      </c>
      <c r="H370" s="37" t="s">
        <v>34</v>
      </c>
      <c r="I370" s="37" t="s">
        <v>34</v>
      </c>
      <c r="J370" s="37" t="s">
        <v>34</v>
      </c>
      <c r="K370" s="37" t="s">
        <v>34</v>
      </c>
      <c r="L370" s="37" t="s">
        <v>35</v>
      </c>
      <c r="O370" s="58"/>
      <c r="P370" s="57"/>
      <c r="Q370" s="57"/>
      <c r="R370" s="121"/>
      <c r="S370" s="121"/>
      <c r="T370" s="122"/>
      <c r="U370" s="121"/>
      <c r="V370" s="121"/>
      <c r="W370" s="121"/>
      <c r="X370" s="121"/>
      <c r="Y370" s="121"/>
      <c r="Z370" s="121"/>
      <c r="AA370" s="121"/>
    </row>
    <row r="371" spans="2:27">
      <c r="B371" s="37" t="s">
        <v>718</v>
      </c>
      <c r="C371" s="40" t="s">
        <v>107</v>
      </c>
      <c r="D371" s="37" t="s">
        <v>71</v>
      </c>
      <c r="E371" s="39">
        <v>496000</v>
      </c>
      <c r="F371" s="37">
        <v>1998</v>
      </c>
      <c r="G371" s="38" t="s">
        <v>719</v>
      </c>
      <c r="H371" s="37" t="s">
        <v>34</v>
      </c>
      <c r="I371" s="37" t="s">
        <v>34</v>
      </c>
      <c r="J371" s="37" t="s">
        <v>34</v>
      </c>
      <c r="K371" s="37" t="s">
        <v>34</v>
      </c>
      <c r="L371" s="37" t="s">
        <v>34</v>
      </c>
      <c r="O371" s="58"/>
      <c r="P371" s="57"/>
      <c r="Q371" s="57"/>
      <c r="R371" s="121"/>
      <c r="S371" s="121"/>
      <c r="T371" s="122"/>
      <c r="U371" s="121"/>
      <c r="V371" s="121"/>
      <c r="W371" s="121"/>
      <c r="X371" s="121"/>
      <c r="Y371" s="121"/>
      <c r="Z371" s="121"/>
      <c r="AA371" s="121"/>
    </row>
    <row r="372" spans="2:27">
      <c r="B372" s="37" t="s">
        <v>720</v>
      </c>
      <c r="C372" s="40" t="s">
        <v>107</v>
      </c>
      <c r="D372" s="37" t="s">
        <v>71</v>
      </c>
      <c r="E372" s="39">
        <v>485000</v>
      </c>
      <c r="F372" s="37">
        <v>1998</v>
      </c>
      <c r="G372" s="38" t="s">
        <v>282</v>
      </c>
      <c r="H372" s="37" t="s">
        <v>34</v>
      </c>
      <c r="I372" s="37" t="s">
        <v>34</v>
      </c>
      <c r="J372" s="37" t="s">
        <v>34</v>
      </c>
      <c r="K372" s="37" t="s">
        <v>34</v>
      </c>
      <c r="L372" s="37" t="s">
        <v>34</v>
      </c>
      <c r="O372" s="58"/>
      <c r="P372" s="57"/>
      <c r="Q372" s="57"/>
      <c r="R372" s="121"/>
      <c r="S372" s="121"/>
      <c r="T372" s="122"/>
      <c r="U372" s="121"/>
      <c r="V372" s="121"/>
      <c r="W372" s="121"/>
      <c r="X372" s="121"/>
      <c r="Y372" s="121"/>
      <c r="Z372" s="121"/>
      <c r="AA372" s="121"/>
    </row>
    <row r="373" spans="2:27">
      <c r="B373" s="37" t="s">
        <v>721</v>
      </c>
      <c r="C373" s="40" t="s">
        <v>107</v>
      </c>
      <c r="D373" s="37" t="s">
        <v>71</v>
      </c>
      <c r="E373" s="39">
        <v>584888</v>
      </c>
      <c r="F373" s="37">
        <v>2019</v>
      </c>
      <c r="G373" s="38" t="s">
        <v>236</v>
      </c>
      <c r="H373" s="37" t="s">
        <v>34</v>
      </c>
      <c r="I373" s="37" t="s">
        <v>34</v>
      </c>
      <c r="J373" s="37" t="s">
        <v>35</v>
      </c>
      <c r="K373" s="37" t="s">
        <v>34</v>
      </c>
      <c r="L373" s="37" t="s">
        <v>34</v>
      </c>
      <c r="O373" s="58"/>
      <c r="P373" s="57"/>
      <c r="Q373" s="57"/>
      <c r="R373" s="121"/>
      <c r="S373" s="121"/>
      <c r="T373" s="122"/>
      <c r="U373" s="121"/>
      <c r="V373" s="121"/>
      <c r="W373" s="121"/>
      <c r="X373" s="121"/>
      <c r="Y373" s="121"/>
      <c r="Z373" s="121"/>
      <c r="AA373" s="121"/>
    </row>
    <row r="374" spans="2:27">
      <c r="B374" s="37" t="s">
        <v>722</v>
      </c>
      <c r="C374" s="40" t="s">
        <v>107</v>
      </c>
      <c r="D374" s="37" t="s">
        <v>71</v>
      </c>
      <c r="E374" s="39">
        <v>585000</v>
      </c>
      <c r="F374" s="37">
        <v>2019</v>
      </c>
      <c r="G374" s="38" t="s">
        <v>236</v>
      </c>
      <c r="H374" s="37" t="s">
        <v>34</v>
      </c>
      <c r="I374" s="37" t="s">
        <v>34</v>
      </c>
      <c r="J374" s="37" t="s">
        <v>35</v>
      </c>
      <c r="K374" s="37" t="s">
        <v>34</v>
      </c>
      <c r="L374" s="37" t="s">
        <v>34</v>
      </c>
      <c r="O374" s="58"/>
      <c r="P374" s="57"/>
      <c r="Q374" s="57"/>
      <c r="R374" s="121"/>
      <c r="S374" s="121"/>
      <c r="T374" s="122"/>
      <c r="U374" s="121"/>
      <c r="V374" s="121"/>
      <c r="W374" s="121"/>
      <c r="X374" s="121"/>
      <c r="Y374" s="121"/>
      <c r="Z374" s="121"/>
      <c r="AA374" s="121"/>
    </row>
    <row r="375" spans="2:27">
      <c r="B375" s="37" t="s">
        <v>723</v>
      </c>
      <c r="C375" s="40" t="s">
        <v>107</v>
      </c>
      <c r="D375" s="37" t="s">
        <v>71</v>
      </c>
      <c r="E375" s="39">
        <v>590000</v>
      </c>
      <c r="F375" s="37">
        <v>1993</v>
      </c>
      <c r="G375" s="38" t="s">
        <v>724</v>
      </c>
      <c r="H375" s="37" t="s">
        <v>34</v>
      </c>
      <c r="I375" s="37" t="s">
        <v>35</v>
      </c>
      <c r="J375" s="37" t="s">
        <v>34</v>
      </c>
      <c r="K375" s="37" t="s">
        <v>34</v>
      </c>
      <c r="L375" s="37" t="s">
        <v>34</v>
      </c>
      <c r="O375" s="58"/>
      <c r="P375" s="57"/>
      <c r="Q375" s="57"/>
      <c r="R375" s="121"/>
      <c r="S375" s="121"/>
      <c r="T375" s="122"/>
      <c r="U375" s="121"/>
      <c r="V375" s="121"/>
      <c r="W375" s="121"/>
      <c r="X375" s="121"/>
      <c r="Y375" s="121"/>
      <c r="Z375" s="121"/>
      <c r="AA375" s="121"/>
    </row>
    <row r="376" spans="2:27">
      <c r="B376" s="37" t="s">
        <v>725</v>
      </c>
      <c r="C376" s="40" t="s">
        <v>107</v>
      </c>
      <c r="D376" s="37" t="s">
        <v>14</v>
      </c>
      <c r="E376" s="39">
        <v>670000</v>
      </c>
      <c r="F376" s="37">
        <v>1996</v>
      </c>
      <c r="G376" s="38" t="s">
        <v>708</v>
      </c>
      <c r="H376" s="37" t="s">
        <v>34</v>
      </c>
      <c r="I376" s="37" t="s">
        <v>34</v>
      </c>
      <c r="J376" s="37" t="s">
        <v>34</v>
      </c>
      <c r="K376" s="37" t="s">
        <v>34</v>
      </c>
      <c r="L376" s="37" t="s">
        <v>34</v>
      </c>
      <c r="O376" s="58"/>
      <c r="P376" s="57"/>
      <c r="Q376" s="57"/>
      <c r="R376" s="121"/>
      <c r="S376" s="121"/>
      <c r="T376" s="122"/>
      <c r="U376" s="121"/>
      <c r="V376" s="121"/>
      <c r="W376" s="121"/>
      <c r="X376" s="121"/>
      <c r="Y376" s="121"/>
      <c r="Z376" s="121"/>
      <c r="AA376" s="121"/>
    </row>
    <row r="377" spans="2:27">
      <c r="B377" s="37" t="s">
        <v>725</v>
      </c>
      <c r="C377" s="40" t="s">
        <v>107</v>
      </c>
      <c r="D377" s="37" t="s">
        <v>14</v>
      </c>
      <c r="E377" s="39">
        <v>690000</v>
      </c>
      <c r="F377" s="37">
        <v>1996</v>
      </c>
      <c r="G377" s="38" t="s">
        <v>708</v>
      </c>
      <c r="H377" s="37" t="s">
        <v>34</v>
      </c>
      <c r="I377" s="37" t="s">
        <v>34</v>
      </c>
      <c r="J377" s="37" t="s">
        <v>34</v>
      </c>
      <c r="K377" s="37" t="s">
        <v>34</v>
      </c>
      <c r="L377" s="37" t="s">
        <v>34</v>
      </c>
      <c r="O377" s="58"/>
      <c r="P377" s="57"/>
      <c r="Q377" s="57"/>
      <c r="R377" s="121"/>
      <c r="S377" s="121"/>
      <c r="T377" s="122"/>
      <c r="U377" s="121"/>
      <c r="V377" s="121"/>
      <c r="W377" s="121"/>
      <c r="X377" s="121"/>
      <c r="Y377" s="121"/>
      <c r="Z377" s="121"/>
      <c r="AA377" s="121"/>
    </row>
    <row r="378" spans="2:27">
      <c r="B378" s="37" t="s">
        <v>726</v>
      </c>
      <c r="C378" s="40" t="s">
        <v>107</v>
      </c>
      <c r="D378" s="37" t="s">
        <v>14</v>
      </c>
      <c r="E378" s="39">
        <v>565000</v>
      </c>
      <c r="F378" s="37">
        <v>1998</v>
      </c>
      <c r="G378" s="38" t="s">
        <v>202</v>
      </c>
      <c r="H378" s="37" t="s">
        <v>34</v>
      </c>
      <c r="I378" s="37" t="s">
        <v>35</v>
      </c>
      <c r="J378" s="37" t="s">
        <v>35</v>
      </c>
      <c r="K378" s="37" t="s">
        <v>34</v>
      </c>
      <c r="L378" s="37" t="s">
        <v>35</v>
      </c>
      <c r="O378" s="58"/>
      <c r="P378" s="57"/>
      <c r="Q378" s="57"/>
      <c r="R378" s="121"/>
      <c r="S378" s="121"/>
      <c r="T378" s="122"/>
      <c r="U378" s="121"/>
      <c r="V378" s="121"/>
      <c r="W378" s="121"/>
      <c r="X378" s="121"/>
      <c r="Y378" s="121"/>
      <c r="Z378" s="121"/>
      <c r="AA378" s="121"/>
    </row>
    <row r="379" spans="2:27">
      <c r="B379" s="37" t="s">
        <v>727</v>
      </c>
      <c r="C379" s="40" t="s">
        <v>107</v>
      </c>
      <c r="D379" s="37" t="s">
        <v>14</v>
      </c>
      <c r="E379" s="39">
        <v>625000</v>
      </c>
      <c r="F379" s="37">
        <v>1999</v>
      </c>
      <c r="G379" s="38" t="s">
        <v>728</v>
      </c>
      <c r="H379" s="37" t="s">
        <v>34</v>
      </c>
      <c r="I379" s="37" t="s">
        <v>35</v>
      </c>
      <c r="J379" s="37" t="s">
        <v>34</v>
      </c>
      <c r="K379" s="37" t="s">
        <v>34</v>
      </c>
      <c r="L379" s="37" t="s">
        <v>35</v>
      </c>
      <c r="O379" s="58"/>
      <c r="P379" s="57"/>
      <c r="Q379" s="57"/>
      <c r="R379" s="121"/>
      <c r="S379" s="121"/>
      <c r="T379" s="122"/>
      <c r="U379" s="121"/>
      <c r="V379" s="121"/>
      <c r="W379" s="121"/>
      <c r="X379" s="121"/>
      <c r="Y379" s="121"/>
      <c r="Z379" s="121"/>
      <c r="AA379" s="121"/>
    </row>
    <row r="380" spans="2:27">
      <c r="B380" s="37" t="s">
        <v>729</v>
      </c>
      <c r="C380" s="40" t="s">
        <v>107</v>
      </c>
      <c r="D380" s="37" t="s">
        <v>14</v>
      </c>
      <c r="E380" s="39">
        <v>655000</v>
      </c>
      <c r="F380" s="37">
        <v>1997</v>
      </c>
      <c r="G380" s="38" t="s">
        <v>653</v>
      </c>
      <c r="H380" s="37" t="s">
        <v>34</v>
      </c>
      <c r="I380" s="37" t="s">
        <v>34</v>
      </c>
      <c r="J380" s="37" t="s">
        <v>34</v>
      </c>
      <c r="K380" s="37" t="s">
        <v>34</v>
      </c>
      <c r="L380" s="37" t="s">
        <v>34</v>
      </c>
      <c r="O380" s="58"/>
      <c r="P380" s="57"/>
      <c r="Q380" s="57"/>
      <c r="R380" s="121"/>
      <c r="S380" s="121"/>
      <c r="T380" s="122"/>
      <c r="U380" s="121"/>
      <c r="V380" s="121"/>
      <c r="W380" s="121"/>
      <c r="X380" s="121"/>
      <c r="Y380" s="121"/>
      <c r="Z380" s="121"/>
      <c r="AA380" s="121"/>
    </row>
    <row r="381" spans="2:27">
      <c r="B381" s="37" t="s">
        <v>730</v>
      </c>
      <c r="C381" s="40" t="s">
        <v>107</v>
      </c>
      <c r="D381" s="37" t="s">
        <v>14</v>
      </c>
      <c r="E381" s="39">
        <v>700000</v>
      </c>
      <c r="F381" s="37">
        <v>2018</v>
      </c>
      <c r="G381" s="38" t="s">
        <v>696</v>
      </c>
      <c r="H381" s="37" t="s">
        <v>34</v>
      </c>
      <c r="I381" s="37" t="s">
        <v>34</v>
      </c>
      <c r="J381" s="37" t="s">
        <v>34</v>
      </c>
      <c r="K381" s="37" t="s">
        <v>34</v>
      </c>
      <c r="L381" s="37" t="s">
        <v>35</v>
      </c>
      <c r="O381" s="58"/>
      <c r="P381" s="57"/>
      <c r="Q381" s="57"/>
      <c r="R381" s="121"/>
      <c r="S381" s="121"/>
      <c r="T381" s="122"/>
      <c r="U381" s="121"/>
      <c r="V381" s="121"/>
      <c r="W381" s="121"/>
      <c r="X381" s="121"/>
      <c r="Y381" s="121"/>
      <c r="Z381" s="121"/>
      <c r="AA381" s="121"/>
    </row>
    <row r="382" spans="2:27">
      <c r="B382" s="37" t="s">
        <v>731</v>
      </c>
      <c r="C382" s="40" t="s">
        <v>107</v>
      </c>
      <c r="D382" s="37" t="s">
        <v>14</v>
      </c>
      <c r="E382" s="39">
        <v>620000</v>
      </c>
      <c r="F382" s="37">
        <v>1985</v>
      </c>
      <c r="G382" s="38" t="s">
        <v>471</v>
      </c>
      <c r="H382" s="37" t="s">
        <v>34</v>
      </c>
      <c r="I382" s="37" t="s">
        <v>35</v>
      </c>
      <c r="J382" s="37" t="s">
        <v>35</v>
      </c>
      <c r="K382" s="37" t="s">
        <v>34</v>
      </c>
      <c r="L382" s="37" t="s">
        <v>35</v>
      </c>
      <c r="O382" s="58"/>
      <c r="P382" s="57"/>
      <c r="Q382" s="57"/>
      <c r="R382" s="121"/>
      <c r="S382" s="121"/>
      <c r="T382" s="122"/>
      <c r="U382" s="121"/>
      <c r="V382" s="121"/>
      <c r="W382" s="121"/>
      <c r="X382" s="121"/>
      <c r="Y382" s="121"/>
      <c r="Z382" s="121"/>
      <c r="AA382" s="121"/>
    </row>
    <row r="383" spans="2:27">
      <c r="B383" s="37" t="s">
        <v>732</v>
      </c>
      <c r="C383" s="40" t="s">
        <v>107</v>
      </c>
      <c r="D383" s="37" t="s">
        <v>14</v>
      </c>
      <c r="E383" s="39">
        <v>743000</v>
      </c>
      <c r="F383" s="37">
        <v>2019</v>
      </c>
      <c r="G383" s="38" t="s">
        <v>236</v>
      </c>
      <c r="H383" s="37" t="s">
        <v>34</v>
      </c>
      <c r="I383" s="37" t="s">
        <v>35</v>
      </c>
      <c r="J383" s="37" t="s">
        <v>35</v>
      </c>
      <c r="K383" s="37" t="s">
        <v>34</v>
      </c>
      <c r="L383" s="37" t="s">
        <v>35</v>
      </c>
      <c r="O383" s="58"/>
      <c r="P383" s="57"/>
      <c r="Q383" s="57"/>
      <c r="R383" s="121"/>
      <c r="S383" s="121"/>
      <c r="T383" s="122"/>
      <c r="U383" s="121"/>
      <c r="V383" s="121"/>
      <c r="W383" s="121"/>
      <c r="X383" s="121"/>
      <c r="Y383" s="121"/>
      <c r="Z383" s="121"/>
      <c r="AA383" s="121"/>
    </row>
    <row r="384" spans="2:27">
      <c r="B384" s="37" t="s">
        <v>733</v>
      </c>
      <c r="C384" s="40" t="s">
        <v>107</v>
      </c>
      <c r="D384" s="37" t="s">
        <v>14</v>
      </c>
      <c r="E384" s="39">
        <v>770000</v>
      </c>
      <c r="F384" s="37">
        <v>2019</v>
      </c>
      <c r="G384" s="38" t="s">
        <v>236</v>
      </c>
      <c r="H384" s="37" t="s">
        <v>34</v>
      </c>
      <c r="I384" s="37" t="s">
        <v>35</v>
      </c>
      <c r="J384" s="37" t="s">
        <v>35</v>
      </c>
      <c r="K384" s="37" t="s">
        <v>34</v>
      </c>
      <c r="L384" s="37" t="s">
        <v>35</v>
      </c>
      <c r="O384" s="58"/>
      <c r="P384" s="57"/>
      <c r="Q384" s="57"/>
      <c r="R384" s="121"/>
      <c r="S384" s="121"/>
      <c r="T384" s="122"/>
      <c r="U384" s="121"/>
      <c r="V384" s="121"/>
      <c r="W384" s="121"/>
      <c r="X384" s="121"/>
      <c r="Y384" s="121"/>
      <c r="Z384" s="121"/>
      <c r="AA384" s="121"/>
    </row>
    <row r="385" spans="2:27">
      <c r="B385" s="37" t="s">
        <v>734</v>
      </c>
      <c r="C385" s="40" t="s">
        <v>107</v>
      </c>
      <c r="D385" s="37" t="s">
        <v>14</v>
      </c>
      <c r="E385" s="39">
        <v>645000</v>
      </c>
      <c r="F385" s="37">
        <v>1996</v>
      </c>
      <c r="G385" s="38" t="s">
        <v>735</v>
      </c>
      <c r="H385" s="37" t="s">
        <v>34</v>
      </c>
      <c r="I385" s="37" t="s">
        <v>34</v>
      </c>
      <c r="J385" s="37" t="s">
        <v>35</v>
      </c>
      <c r="K385" s="37" t="s">
        <v>34</v>
      </c>
      <c r="L385" s="37" t="s">
        <v>35</v>
      </c>
      <c r="O385" s="58"/>
      <c r="P385" s="57"/>
      <c r="Q385" s="57"/>
      <c r="R385" s="121"/>
      <c r="S385" s="121"/>
      <c r="T385" s="122"/>
      <c r="U385" s="121"/>
      <c r="V385" s="121"/>
      <c r="W385" s="121"/>
      <c r="X385" s="121"/>
      <c r="Y385" s="121"/>
      <c r="Z385" s="121"/>
      <c r="AA385" s="121"/>
    </row>
    <row r="386" spans="2:27">
      <c r="B386" s="37" t="s">
        <v>736</v>
      </c>
      <c r="C386" s="40" t="s">
        <v>107</v>
      </c>
      <c r="D386" s="37" t="s">
        <v>177</v>
      </c>
      <c r="E386" s="39">
        <v>750000</v>
      </c>
      <c r="F386" s="37">
        <v>1995</v>
      </c>
      <c r="G386" s="38" t="s">
        <v>737</v>
      </c>
      <c r="H386" s="37" t="s">
        <v>34</v>
      </c>
      <c r="I386" s="37" t="s">
        <v>34</v>
      </c>
      <c r="J386" s="37" t="s">
        <v>34</v>
      </c>
      <c r="K386" s="37" t="s">
        <v>34</v>
      </c>
      <c r="L386" s="37" t="s">
        <v>34</v>
      </c>
      <c r="O386" s="58"/>
      <c r="P386" s="57"/>
      <c r="Q386" s="57"/>
      <c r="R386" s="121"/>
      <c r="S386" s="121"/>
      <c r="T386" s="122"/>
      <c r="U386" s="121"/>
      <c r="V386" s="121"/>
      <c r="W386" s="121"/>
      <c r="X386" s="121"/>
      <c r="Y386" s="121"/>
      <c r="Z386" s="121"/>
      <c r="AA386" s="121"/>
    </row>
    <row r="387" spans="2:27">
      <c r="B387" s="37" t="s">
        <v>738</v>
      </c>
      <c r="C387" s="40" t="s">
        <v>107</v>
      </c>
      <c r="D387" s="37" t="s">
        <v>177</v>
      </c>
      <c r="E387" s="39">
        <v>808000</v>
      </c>
      <c r="F387" s="37">
        <v>1998</v>
      </c>
      <c r="G387" s="38" t="s">
        <v>739</v>
      </c>
      <c r="H387" s="37" t="s">
        <v>34</v>
      </c>
      <c r="I387" s="37" t="s">
        <v>34</v>
      </c>
      <c r="J387" s="37" t="s">
        <v>34</v>
      </c>
      <c r="K387" s="37" t="s">
        <v>34</v>
      </c>
      <c r="L387" s="37" t="s">
        <v>34</v>
      </c>
      <c r="O387" s="58"/>
      <c r="P387" s="57"/>
      <c r="Q387" s="57"/>
      <c r="R387" s="121"/>
      <c r="S387" s="121"/>
      <c r="T387" s="122"/>
      <c r="U387" s="121"/>
      <c r="V387" s="121"/>
      <c r="W387" s="121"/>
      <c r="X387" s="121"/>
      <c r="Y387" s="121"/>
      <c r="Z387" s="121"/>
      <c r="AA387" s="121"/>
    </row>
    <row r="388" spans="2:27">
      <c r="B388" s="37" t="s">
        <v>740</v>
      </c>
      <c r="C388" s="40" t="s">
        <v>741</v>
      </c>
      <c r="D388" s="37" t="s">
        <v>31</v>
      </c>
      <c r="E388" s="39">
        <v>315000</v>
      </c>
      <c r="F388" s="37">
        <v>2013</v>
      </c>
      <c r="G388" s="38" t="s">
        <v>255</v>
      </c>
      <c r="H388" s="37" t="s">
        <v>34</v>
      </c>
      <c r="I388" s="37" t="s">
        <v>35</v>
      </c>
      <c r="J388" s="37" t="s">
        <v>34</v>
      </c>
      <c r="K388" s="37" t="s">
        <v>34</v>
      </c>
      <c r="L388" s="37" t="s">
        <v>35</v>
      </c>
      <c r="O388" s="58"/>
      <c r="P388" s="57"/>
      <c r="Q388" s="57"/>
      <c r="R388" s="121"/>
      <c r="S388" s="121"/>
      <c r="T388" s="122"/>
      <c r="U388" s="121"/>
      <c r="V388" s="121"/>
      <c r="W388" s="121"/>
      <c r="X388" s="121"/>
      <c r="Y388" s="121"/>
      <c r="Z388" s="121"/>
      <c r="AA388" s="121"/>
    </row>
    <row r="389" spans="2:27">
      <c r="B389" s="37" t="s">
        <v>742</v>
      </c>
      <c r="C389" s="40" t="s">
        <v>741</v>
      </c>
      <c r="D389" s="37" t="s">
        <v>82</v>
      </c>
      <c r="E389" s="39">
        <v>375000</v>
      </c>
      <c r="F389" s="37">
        <v>1987</v>
      </c>
      <c r="G389" s="38" t="s">
        <v>216</v>
      </c>
      <c r="H389" s="37" t="s">
        <v>34</v>
      </c>
      <c r="I389" s="37" t="s">
        <v>35</v>
      </c>
      <c r="J389" s="37" t="s">
        <v>35</v>
      </c>
      <c r="K389" s="37" t="s">
        <v>34</v>
      </c>
      <c r="L389" s="37" t="s">
        <v>35</v>
      </c>
      <c r="O389" s="58"/>
      <c r="P389" s="57"/>
      <c r="Q389" s="57"/>
      <c r="R389" s="121"/>
      <c r="S389" s="121"/>
      <c r="T389" s="122"/>
      <c r="U389" s="121"/>
      <c r="V389" s="121"/>
      <c r="W389" s="121"/>
      <c r="X389" s="121"/>
      <c r="Y389" s="121"/>
      <c r="Z389" s="121"/>
      <c r="AA389" s="121"/>
    </row>
    <row r="390" spans="2:27">
      <c r="B390" s="37" t="s">
        <v>743</v>
      </c>
      <c r="C390" s="40" t="s">
        <v>741</v>
      </c>
      <c r="D390" s="37" t="s">
        <v>82</v>
      </c>
      <c r="E390" s="39">
        <v>442000</v>
      </c>
      <c r="F390" s="37">
        <v>2018</v>
      </c>
      <c r="G390" s="38" t="s">
        <v>257</v>
      </c>
      <c r="H390" s="37" t="s">
        <v>34</v>
      </c>
      <c r="I390" s="37" t="s">
        <v>35</v>
      </c>
      <c r="J390" s="37" t="s">
        <v>35</v>
      </c>
      <c r="K390" s="37" t="s">
        <v>34</v>
      </c>
      <c r="L390" s="37" t="s">
        <v>35</v>
      </c>
      <c r="O390" s="58"/>
      <c r="P390" s="57"/>
      <c r="Q390" s="57"/>
      <c r="R390" s="121"/>
      <c r="S390" s="121"/>
      <c r="T390" s="122"/>
      <c r="U390" s="121"/>
      <c r="V390" s="121"/>
      <c r="W390" s="121"/>
      <c r="X390" s="121"/>
      <c r="Y390" s="121"/>
      <c r="Z390" s="121"/>
      <c r="AA390" s="121"/>
    </row>
    <row r="391" spans="2:27">
      <c r="B391" s="37" t="s">
        <v>744</v>
      </c>
      <c r="C391" s="40" t="s">
        <v>741</v>
      </c>
      <c r="D391" s="37" t="s">
        <v>82</v>
      </c>
      <c r="E391" s="39">
        <v>357000</v>
      </c>
      <c r="F391" s="37">
        <v>1983</v>
      </c>
      <c r="G391" s="38" t="s">
        <v>416</v>
      </c>
      <c r="H391" s="37" t="s">
        <v>34</v>
      </c>
      <c r="I391" s="37" t="s">
        <v>34</v>
      </c>
      <c r="J391" s="37" t="s">
        <v>34</v>
      </c>
      <c r="K391" s="37" t="s">
        <v>34</v>
      </c>
      <c r="L391" s="37" t="s">
        <v>35</v>
      </c>
      <c r="O391" s="58"/>
      <c r="P391" s="57"/>
      <c r="Q391" s="57"/>
      <c r="R391" s="121"/>
      <c r="S391" s="121"/>
      <c r="T391" s="122"/>
      <c r="U391" s="121"/>
      <c r="V391" s="121"/>
      <c r="W391" s="121"/>
      <c r="X391" s="121"/>
      <c r="Y391" s="121"/>
      <c r="Z391" s="121"/>
      <c r="AA391" s="121"/>
    </row>
    <row r="392" spans="2:27">
      <c r="B392" s="37" t="s">
        <v>745</v>
      </c>
      <c r="C392" s="40" t="s">
        <v>741</v>
      </c>
      <c r="D392" s="37" t="s">
        <v>82</v>
      </c>
      <c r="E392" s="39">
        <v>385000</v>
      </c>
      <c r="F392" s="37">
        <v>1985</v>
      </c>
      <c r="G392" s="38" t="s">
        <v>444</v>
      </c>
      <c r="H392" s="37" t="s">
        <v>34</v>
      </c>
      <c r="I392" s="37" t="s">
        <v>34</v>
      </c>
      <c r="J392" s="37" t="s">
        <v>34</v>
      </c>
      <c r="K392" s="37" t="s">
        <v>34</v>
      </c>
      <c r="L392" s="37" t="s">
        <v>34</v>
      </c>
      <c r="O392" s="58"/>
      <c r="P392" s="57"/>
      <c r="Q392" s="57"/>
      <c r="R392" s="121"/>
      <c r="S392" s="121"/>
      <c r="T392" s="122"/>
      <c r="U392" s="121"/>
      <c r="V392" s="121"/>
      <c r="W392" s="121"/>
      <c r="X392" s="121"/>
      <c r="Y392" s="121"/>
      <c r="Z392" s="121"/>
      <c r="AA392" s="121"/>
    </row>
    <row r="393" spans="2:27">
      <c r="B393" s="37" t="s">
        <v>746</v>
      </c>
      <c r="C393" s="40" t="s">
        <v>741</v>
      </c>
      <c r="D393" s="37" t="s">
        <v>82</v>
      </c>
      <c r="E393" s="39">
        <v>391000</v>
      </c>
      <c r="F393" s="37">
        <v>1985</v>
      </c>
      <c r="G393" s="38" t="s">
        <v>635</v>
      </c>
      <c r="H393" s="37" t="s">
        <v>34</v>
      </c>
      <c r="I393" s="37" t="s">
        <v>34</v>
      </c>
      <c r="J393" s="37" t="s">
        <v>34</v>
      </c>
      <c r="K393" s="37" t="s">
        <v>34</v>
      </c>
      <c r="L393" s="37" t="s">
        <v>34</v>
      </c>
      <c r="O393" s="58"/>
      <c r="P393" s="57"/>
      <c r="Q393" s="57"/>
      <c r="R393" s="121"/>
      <c r="S393" s="121"/>
      <c r="T393" s="122"/>
      <c r="U393" s="121"/>
      <c r="V393" s="121"/>
      <c r="W393" s="121"/>
      <c r="X393" s="121"/>
      <c r="Y393" s="121"/>
      <c r="Z393" s="121"/>
      <c r="AA393" s="121"/>
    </row>
    <row r="394" spans="2:27">
      <c r="B394" s="37" t="s">
        <v>747</v>
      </c>
      <c r="C394" s="40" t="s">
        <v>741</v>
      </c>
      <c r="D394" s="37" t="s">
        <v>82</v>
      </c>
      <c r="E394" s="39">
        <v>388000</v>
      </c>
      <c r="F394" s="37">
        <v>1992</v>
      </c>
      <c r="G394" s="38" t="s">
        <v>748</v>
      </c>
      <c r="H394" s="37" t="s">
        <v>34</v>
      </c>
      <c r="I394" s="37" t="s">
        <v>34</v>
      </c>
      <c r="J394" s="37" t="s">
        <v>34</v>
      </c>
      <c r="K394" s="37" t="s">
        <v>34</v>
      </c>
      <c r="L394" s="37" t="s">
        <v>35</v>
      </c>
      <c r="O394" s="58"/>
      <c r="P394" s="57"/>
      <c r="Q394" s="57"/>
      <c r="R394" s="121"/>
      <c r="S394" s="121"/>
      <c r="T394" s="122"/>
      <c r="U394" s="121"/>
      <c r="V394" s="121"/>
      <c r="W394" s="121"/>
      <c r="X394" s="121"/>
      <c r="Y394" s="121"/>
      <c r="Z394" s="121"/>
      <c r="AA394" s="121"/>
    </row>
    <row r="395" spans="2:27">
      <c r="B395" s="37" t="s">
        <v>749</v>
      </c>
      <c r="C395" s="40" t="s">
        <v>741</v>
      </c>
      <c r="D395" s="37" t="s">
        <v>82</v>
      </c>
      <c r="E395" s="39">
        <v>395000</v>
      </c>
      <c r="F395" s="37">
        <v>1992</v>
      </c>
      <c r="G395" s="38" t="s">
        <v>748</v>
      </c>
      <c r="H395" s="37" t="s">
        <v>34</v>
      </c>
      <c r="I395" s="37" t="s">
        <v>34</v>
      </c>
      <c r="J395" s="37" t="s">
        <v>34</v>
      </c>
      <c r="K395" s="37" t="s">
        <v>34</v>
      </c>
      <c r="L395" s="37" t="s">
        <v>35</v>
      </c>
      <c r="O395" s="58"/>
      <c r="P395" s="57"/>
      <c r="Q395" s="57"/>
      <c r="R395" s="121"/>
      <c r="S395" s="121"/>
      <c r="T395" s="122"/>
      <c r="U395" s="121"/>
      <c r="V395" s="121"/>
      <c r="W395" s="121"/>
      <c r="X395" s="121"/>
      <c r="Y395" s="121"/>
      <c r="Z395" s="121"/>
      <c r="AA395" s="121"/>
    </row>
    <row r="396" spans="2:27">
      <c r="B396" s="37" t="s">
        <v>750</v>
      </c>
      <c r="C396" s="40" t="s">
        <v>741</v>
      </c>
      <c r="D396" s="37" t="s">
        <v>71</v>
      </c>
      <c r="E396" s="39">
        <v>520000</v>
      </c>
      <c r="F396" s="37">
        <v>2013</v>
      </c>
      <c r="G396" s="38" t="s">
        <v>255</v>
      </c>
      <c r="H396" s="37" t="s">
        <v>34</v>
      </c>
      <c r="I396" s="37" t="s">
        <v>35</v>
      </c>
      <c r="J396" s="37" t="s">
        <v>34</v>
      </c>
      <c r="K396" s="37" t="s">
        <v>34</v>
      </c>
      <c r="L396" s="37" t="s">
        <v>35</v>
      </c>
      <c r="O396" s="58"/>
      <c r="P396" s="57"/>
      <c r="Q396" s="57"/>
      <c r="R396" s="121"/>
      <c r="S396" s="121"/>
      <c r="T396" s="122"/>
      <c r="U396" s="121"/>
      <c r="V396" s="121"/>
      <c r="W396" s="121"/>
      <c r="X396" s="121"/>
      <c r="Y396" s="121"/>
      <c r="Z396" s="121"/>
      <c r="AA396" s="121"/>
    </row>
    <row r="397" spans="2:27">
      <c r="B397" s="37" t="s">
        <v>751</v>
      </c>
      <c r="C397" s="40" t="s">
        <v>741</v>
      </c>
      <c r="D397" s="37" t="s">
        <v>71</v>
      </c>
      <c r="E397" s="39">
        <v>738000</v>
      </c>
      <c r="F397" s="37">
        <v>2013</v>
      </c>
      <c r="G397" s="38" t="s">
        <v>752</v>
      </c>
      <c r="H397" s="37" t="s">
        <v>34</v>
      </c>
      <c r="I397" s="37" t="s">
        <v>35</v>
      </c>
      <c r="J397" s="37" t="s">
        <v>34</v>
      </c>
      <c r="K397" s="37" t="s">
        <v>34</v>
      </c>
      <c r="L397" s="37" t="s">
        <v>35</v>
      </c>
      <c r="O397" s="58"/>
      <c r="P397" s="57"/>
      <c r="Q397" s="57"/>
      <c r="R397" s="121"/>
      <c r="S397" s="121"/>
      <c r="T397" s="122"/>
      <c r="U397" s="121"/>
      <c r="V397" s="121"/>
      <c r="W397" s="121"/>
      <c r="X397" s="121"/>
      <c r="Y397" s="121"/>
      <c r="Z397" s="121"/>
      <c r="AA397" s="121"/>
    </row>
    <row r="398" spans="2:27">
      <c r="B398" s="37" t="s">
        <v>753</v>
      </c>
      <c r="C398" s="40" t="s">
        <v>741</v>
      </c>
      <c r="D398" s="37" t="s">
        <v>71</v>
      </c>
      <c r="E398" s="39">
        <v>530000</v>
      </c>
      <c r="F398" s="37">
        <v>1988</v>
      </c>
      <c r="G398" s="38" t="s">
        <v>454</v>
      </c>
      <c r="H398" s="37" t="s">
        <v>34</v>
      </c>
      <c r="I398" s="37" t="s">
        <v>35</v>
      </c>
      <c r="J398" s="37" t="s">
        <v>34</v>
      </c>
      <c r="K398" s="37" t="s">
        <v>34</v>
      </c>
      <c r="L398" s="37" t="s">
        <v>35</v>
      </c>
      <c r="O398" s="58"/>
      <c r="P398" s="57"/>
      <c r="Q398" s="57"/>
      <c r="R398" s="121"/>
      <c r="S398" s="121"/>
      <c r="T398" s="122"/>
      <c r="U398" s="121"/>
      <c r="V398" s="121"/>
      <c r="W398" s="121"/>
      <c r="X398" s="121"/>
      <c r="Y398" s="121"/>
      <c r="Z398" s="121"/>
      <c r="AA398" s="121"/>
    </row>
    <row r="399" spans="2:27">
      <c r="B399" s="37" t="s">
        <v>754</v>
      </c>
      <c r="C399" s="40" t="s">
        <v>741</v>
      </c>
      <c r="D399" s="37" t="s">
        <v>71</v>
      </c>
      <c r="E399" s="39">
        <v>565000</v>
      </c>
      <c r="F399" s="37">
        <v>2018</v>
      </c>
      <c r="G399" s="38" t="s">
        <v>755</v>
      </c>
      <c r="H399" s="37" t="s">
        <v>34</v>
      </c>
      <c r="I399" s="37" t="s">
        <v>35</v>
      </c>
      <c r="J399" s="37" t="s">
        <v>35</v>
      </c>
      <c r="K399" s="37" t="s">
        <v>34</v>
      </c>
      <c r="L399" s="37" t="s">
        <v>35</v>
      </c>
      <c r="O399" s="58"/>
      <c r="P399" s="57"/>
      <c r="Q399" s="57"/>
      <c r="R399" s="121"/>
      <c r="S399" s="121"/>
      <c r="T399" s="122"/>
      <c r="U399" s="121"/>
      <c r="V399" s="121"/>
      <c r="W399" s="121"/>
      <c r="X399" s="121"/>
      <c r="Y399" s="121"/>
      <c r="Z399" s="121"/>
      <c r="AA399" s="121"/>
    </row>
    <row r="400" spans="2:27">
      <c r="B400" s="37" t="s">
        <v>756</v>
      </c>
      <c r="C400" s="40" t="s">
        <v>741</v>
      </c>
      <c r="D400" s="37" t="s">
        <v>71</v>
      </c>
      <c r="E400" s="39">
        <v>538888</v>
      </c>
      <c r="F400" s="37">
        <v>2018</v>
      </c>
      <c r="G400" s="38" t="s">
        <v>755</v>
      </c>
      <c r="H400" s="37" t="s">
        <v>34</v>
      </c>
      <c r="I400" s="37" t="s">
        <v>35</v>
      </c>
      <c r="J400" s="37" t="s">
        <v>35</v>
      </c>
      <c r="K400" s="37" t="s">
        <v>34</v>
      </c>
      <c r="L400" s="37" t="s">
        <v>35</v>
      </c>
      <c r="O400" s="58"/>
      <c r="P400" s="57"/>
      <c r="Q400" s="57"/>
      <c r="R400" s="121"/>
      <c r="S400" s="121"/>
      <c r="T400" s="122"/>
      <c r="U400" s="121"/>
      <c r="V400" s="121"/>
      <c r="W400" s="121"/>
      <c r="X400" s="121"/>
      <c r="Y400" s="121"/>
      <c r="Z400" s="121"/>
      <c r="AA400" s="121"/>
    </row>
    <row r="401" spans="2:27">
      <c r="B401" s="37" t="s">
        <v>757</v>
      </c>
      <c r="C401" s="40" t="s">
        <v>741</v>
      </c>
      <c r="D401" s="37" t="s">
        <v>71</v>
      </c>
      <c r="E401" s="39">
        <v>548000</v>
      </c>
      <c r="F401" s="37">
        <v>2019</v>
      </c>
      <c r="G401" s="38" t="s">
        <v>758</v>
      </c>
      <c r="H401" s="37" t="s">
        <v>34</v>
      </c>
      <c r="I401" s="37" t="s">
        <v>35</v>
      </c>
      <c r="J401" s="37" t="s">
        <v>34</v>
      </c>
      <c r="K401" s="37" t="s">
        <v>34</v>
      </c>
      <c r="L401" s="37" t="s">
        <v>35</v>
      </c>
      <c r="O401" s="58"/>
      <c r="P401" s="57"/>
      <c r="Q401" s="57"/>
      <c r="R401" s="121"/>
      <c r="S401" s="121"/>
      <c r="T401" s="122"/>
      <c r="U401" s="121"/>
      <c r="V401" s="121"/>
      <c r="W401" s="121"/>
      <c r="X401" s="121"/>
      <c r="Y401" s="121"/>
      <c r="Z401" s="121"/>
      <c r="AA401" s="121"/>
    </row>
    <row r="402" spans="2:27">
      <c r="B402" s="37" t="s">
        <v>759</v>
      </c>
      <c r="C402" s="40" t="s">
        <v>741</v>
      </c>
      <c r="D402" s="37" t="s">
        <v>71</v>
      </c>
      <c r="E402" s="39">
        <v>565000</v>
      </c>
      <c r="F402" s="37">
        <v>2019</v>
      </c>
      <c r="G402" s="38" t="s">
        <v>758</v>
      </c>
      <c r="H402" s="37" t="s">
        <v>34</v>
      </c>
      <c r="I402" s="37" t="s">
        <v>35</v>
      </c>
      <c r="J402" s="37" t="s">
        <v>34</v>
      </c>
      <c r="K402" s="37" t="s">
        <v>34</v>
      </c>
      <c r="L402" s="37" t="s">
        <v>35</v>
      </c>
      <c r="O402" s="58"/>
      <c r="P402" s="57"/>
      <c r="Q402" s="57"/>
      <c r="R402" s="121"/>
      <c r="S402" s="121"/>
      <c r="T402" s="122"/>
      <c r="U402" s="121"/>
      <c r="V402" s="121"/>
      <c r="W402" s="121"/>
      <c r="X402" s="121"/>
      <c r="Y402" s="121"/>
      <c r="Z402" s="121"/>
      <c r="AA402" s="121"/>
    </row>
    <row r="403" spans="2:27">
      <c r="B403" s="37" t="s">
        <v>760</v>
      </c>
      <c r="C403" s="40" t="s">
        <v>741</v>
      </c>
      <c r="D403" s="37" t="s">
        <v>71</v>
      </c>
      <c r="E403" s="39">
        <v>542000</v>
      </c>
      <c r="F403" s="37">
        <v>2012</v>
      </c>
      <c r="G403" s="38" t="s">
        <v>761</v>
      </c>
      <c r="H403" s="37" t="s">
        <v>34</v>
      </c>
      <c r="I403" s="37" t="s">
        <v>35</v>
      </c>
      <c r="J403" s="37" t="s">
        <v>34</v>
      </c>
      <c r="K403" s="37" t="s">
        <v>34</v>
      </c>
      <c r="L403" s="37" t="s">
        <v>35</v>
      </c>
      <c r="O403" s="58"/>
      <c r="P403" s="57"/>
      <c r="Q403" s="57"/>
      <c r="R403" s="121"/>
      <c r="S403" s="121"/>
      <c r="T403" s="122"/>
      <c r="U403" s="121"/>
      <c r="V403" s="121"/>
      <c r="W403" s="121"/>
      <c r="X403" s="121"/>
      <c r="Y403" s="121"/>
      <c r="Z403" s="121"/>
      <c r="AA403" s="121"/>
    </row>
    <row r="404" spans="2:27">
      <c r="B404" s="37" t="s">
        <v>762</v>
      </c>
      <c r="C404" s="40" t="s">
        <v>741</v>
      </c>
      <c r="D404" s="37" t="s">
        <v>71</v>
      </c>
      <c r="E404" s="39">
        <v>536000</v>
      </c>
      <c r="F404" s="37">
        <v>2012</v>
      </c>
      <c r="G404" s="38" t="s">
        <v>761</v>
      </c>
      <c r="H404" s="37" t="s">
        <v>34</v>
      </c>
      <c r="I404" s="37" t="s">
        <v>35</v>
      </c>
      <c r="J404" s="37" t="s">
        <v>34</v>
      </c>
      <c r="K404" s="37" t="s">
        <v>34</v>
      </c>
      <c r="L404" s="37" t="s">
        <v>35</v>
      </c>
      <c r="O404" s="58"/>
      <c r="P404" s="57"/>
      <c r="Q404" s="57"/>
      <c r="R404" s="121"/>
      <c r="S404" s="121"/>
      <c r="T404" s="122"/>
      <c r="U404" s="121"/>
      <c r="V404" s="121"/>
      <c r="W404" s="121"/>
      <c r="X404" s="121"/>
      <c r="Y404" s="121"/>
      <c r="Z404" s="121"/>
      <c r="AA404" s="121"/>
    </row>
    <row r="405" spans="2:27">
      <c r="B405" s="37" t="s">
        <v>763</v>
      </c>
      <c r="C405" s="40" t="s">
        <v>741</v>
      </c>
      <c r="D405" s="37" t="s">
        <v>71</v>
      </c>
      <c r="E405" s="39">
        <v>470000</v>
      </c>
      <c r="F405" s="37">
        <v>1985</v>
      </c>
      <c r="G405" s="38" t="s">
        <v>375</v>
      </c>
      <c r="H405" s="37" t="s">
        <v>34</v>
      </c>
      <c r="I405" s="37" t="s">
        <v>34</v>
      </c>
      <c r="J405" s="37" t="s">
        <v>34</v>
      </c>
      <c r="K405" s="37" t="s">
        <v>34</v>
      </c>
      <c r="L405" s="37" t="s">
        <v>35</v>
      </c>
      <c r="O405" s="58"/>
      <c r="P405" s="57"/>
      <c r="Q405" s="57"/>
      <c r="R405" s="121"/>
      <c r="S405" s="121"/>
      <c r="T405" s="122"/>
      <c r="U405" s="121"/>
      <c r="V405" s="121"/>
      <c r="W405" s="121"/>
      <c r="X405" s="121"/>
      <c r="Y405" s="121"/>
      <c r="Z405" s="121"/>
      <c r="AA405" s="121"/>
    </row>
    <row r="406" spans="2:27">
      <c r="B406" s="37" t="s">
        <v>764</v>
      </c>
      <c r="C406" s="40" t="s">
        <v>741</v>
      </c>
      <c r="D406" s="37" t="s">
        <v>71</v>
      </c>
      <c r="E406" s="39">
        <v>508000</v>
      </c>
      <c r="F406" s="37">
        <v>1985</v>
      </c>
      <c r="G406" s="38" t="s">
        <v>464</v>
      </c>
      <c r="H406" s="37" t="s">
        <v>34</v>
      </c>
      <c r="I406" s="37" t="s">
        <v>34</v>
      </c>
      <c r="J406" s="37" t="s">
        <v>34</v>
      </c>
      <c r="K406" s="37" t="s">
        <v>34</v>
      </c>
      <c r="L406" s="37" t="s">
        <v>34</v>
      </c>
      <c r="O406" s="58"/>
      <c r="P406" s="57"/>
      <c r="Q406" s="57"/>
      <c r="R406" s="121"/>
      <c r="S406" s="121"/>
      <c r="T406" s="122"/>
      <c r="U406" s="121"/>
      <c r="V406" s="121"/>
      <c r="W406" s="121"/>
      <c r="X406" s="121"/>
      <c r="Y406" s="121"/>
      <c r="Z406" s="121"/>
      <c r="AA406" s="121"/>
    </row>
    <row r="407" spans="2:27">
      <c r="B407" s="37" t="s">
        <v>765</v>
      </c>
      <c r="C407" s="40" t="s">
        <v>741</v>
      </c>
      <c r="D407" s="37" t="s">
        <v>71</v>
      </c>
      <c r="E407" s="39">
        <v>520000</v>
      </c>
      <c r="F407" s="37">
        <v>1986</v>
      </c>
      <c r="G407" s="38" t="s">
        <v>197</v>
      </c>
      <c r="H407" s="37" t="s">
        <v>34</v>
      </c>
      <c r="I407" s="37" t="s">
        <v>35</v>
      </c>
      <c r="J407" s="37" t="s">
        <v>35</v>
      </c>
      <c r="K407" s="37" t="s">
        <v>34</v>
      </c>
      <c r="L407" s="37" t="s">
        <v>35</v>
      </c>
      <c r="O407" s="58"/>
      <c r="P407" s="57"/>
      <c r="Q407" s="57"/>
      <c r="R407" s="121"/>
      <c r="S407" s="121"/>
      <c r="T407" s="122"/>
      <c r="U407" s="121"/>
      <c r="V407" s="121"/>
      <c r="W407" s="121"/>
      <c r="X407" s="121"/>
      <c r="Y407" s="121"/>
      <c r="Z407" s="121"/>
      <c r="AA407" s="121"/>
    </row>
    <row r="408" spans="2:27">
      <c r="B408" s="37" t="s">
        <v>766</v>
      </c>
      <c r="C408" s="40" t="s">
        <v>741</v>
      </c>
      <c r="D408" s="37" t="s">
        <v>71</v>
      </c>
      <c r="E408" s="39">
        <v>570000</v>
      </c>
      <c r="F408" s="37">
        <v>2018</v>
      </c>
      <c r="G408" s="38" t="s">
        <v>339</v>
      </c>
      <c r="H408" s="37" t="s">
        <v>34</v>
      </c>
      <c r="I408" s="37" t="s">
        <v>35</v>
      </c>
      <c r="J408" s="37" t="s">
        <v>35</v>
      </c>
      <c r="K408" s="37" t="s">
        <v>34</v>
      </c>
      <c r="L408" s="37" t="s">
        <v>35</v>
      </c>
      <c r="O408" s="58"/>
      <c r="P408" s="57"/>
      <c r="Q408" s="57"/>
      <c r="R408" s="121"/>
      <c r="S408" s="121"/>
      <c r="T408" s="122"/>
      <c r="U408" s="121"/>
      <c r="V408" s="121"/>
      <c r="W408" s="121"/>
      <c r="X408" s="121"/>
      <c r="Y408" s="121"/>
      <c r="Z408" s="121"/>
      <c r="AA408" s="121"/>
    </row>
    <row r="409" spans="2:27">
      <c r="B409" s="37" t="s">
        <v>767</v>
      </c>
      <c r="C409" s="40" t="s">
        <v>741</v>
      </c>
      <c r="D409" s="37" t="s">
        <v>71</v>
      </c>
      <c r="E409" s="39">
        <v>558888</v>
      </c>
      <c r="F409" s="37">
        <v>2016</v>
      </c>
      <c r="G409" s="38" t="s">
        <v>402</v>
      </c>
      <c r="H409" s="37" t="s">
        <v>34</v>
      </c>
      <c r="I409" s="37" t="s">
        <v>35</v>
      </c>
      <c r="J409" s="37" t="s">
        <v>35</v>
      </c>
      <c r="K409" s="37" t="s">
        <v>34</v>
      </c>
      <c r="L409" s="37" t="s">
        <v>35</v>
      </c>
      <c r="O409" s="58"/>
      <c r="P409" s="57"/>
      <c r="Q409" s="57"/>
      <c r="R409" s="121"/>
      <c r="S409" s="121"/>
      <c r="T409" s="122"/>
      <c r="U409" s="121"/>
      <c r="V409" s="121"/>
      <c r="W409" s="121"/>
      <c r="X409" s="121"/>
      <c r="Y409" s="121"/>
      <c r="Z409" s="121"/>
      <c r="AA409" s="121"/>
    </row>
    <row r="410" spans="2:27">
      <c r="B410" s="37" t="s">
        <v>768</v>
      </c>
      <c r="C410" s="40" t="s">
        <v>741</v>
      </c>
      <c r="D410" s="37" t="s">
        <v>71</v>
      </c>
      <c r="E410" s="39">
        <v>560000</v>
      </c>
      <c r="F410" s="37">
        <v>2018</v>
      </c>
      <c r="G410" s="38" t="s">
        <v>769</v>
      </c>
      <c r="H410" s="37" t="s">
        <v>34</v>
      </c>
      <c r="I410" s="37" t="s">
        <v>35</v>
      </c>
      <c r="J410" s="37" t="s">
        <v>35</v>
      </c>
      <c r="K410" s="37" t="s">
        <v>34</v>
      </c>
      <c r="L410" s="37" t="s">
        <v>35</v>
      </c>
      <c r="O410" s="58"/>
      <c r="P410" s="57"/>
      <c r="Q410" s="57"/>
      <c r="R410" s="121"/>
      <c r="S410" s="121"/>
      <c r="T410" s="122"/>
      <c r="U410" s="121"/>
      <c r="V410" s="121"/>
      <c r="W410" s="121"/>
      <c r="X410" s="121"/>
      <c r="Y410" s="121"/>
      <c r="Z410" s="121"/>
      <c r="AA410" s="121"/>
    </row>
    <row r="411" spans="2:27">
      <c r="B411" s="37" t="s">
        <v>770</v>
      </c>
      <c r="C411" s="40" t="s">
        <v>741</v>
      </c>
      <c r="D411" s="37" t="s">
        <v>71</v>
      </c>
      <c r="E411" s="39">
        <v>450000</v>
      </c>
      <c r="F411" s="37">
        <v>1987</v>
      </c>
      <c r="G411" s="38" t="s">
        <v>216</v>
      </c>
      <c r="H411" s="37" t="s">
        <v>34</v>
      </c>
      <c r="I411" s="37" t="s">
        <v>34</v>
      </c>
      <c r="J411" s="37" t="s">
        <v>34</v>
      </c>
      <c r="K411" s="37" t="s">
        <v>34</v>
      </c>
      <c r="L411" s="37" t="s">
        <v>35</v>
      </c>
      <c r="O411" s="58"/>
      <c r="P411" s="57"/>
      <c r="Q411" s="57"/>
      <c r="R411" s="121"/>
      <c r="S411" s="121"/>
      <c r="T411" s="122"/>
      <c r="U411" s="121"/>
      <c r="V411" s="121"/>
      <c r="W411" s="121"/>
      <c r="X411" s="121"/>
      <c r="Y411" s="121"/>
      <c r="Z411" s="121"/>
      <c r="AA411" s="121"/>
    </row>
    <row r="412" spans="2:27">
      <c r="B412" s="37" t="s">
        <v>771</v>
      </c>
      <c r="C412" s="40" t="s">
        <v>741</v>
      </c>
      <c r="D412" s="37" t="s">
        <v>71</v>
      </c>
      <c r="E412" s="39">
        <v>460000</v>
      </c>
      <c r="F412" s="37">
        <v>1987</v>
      </c>
      <c r="G412" s="38" t="s">
        <v>210</v>
      </c>
      <c r="H412" s="37" t="s">
        <v>34</v>
      </c>
      <c r="I412" s="37" t="s">
        <v>34</v>
      </c>
      <c r="J412" s="37" t="s">
        <v>34</v>
      </c>
      <c r="K412" s="37" t="s">
        <v>34</v>
      </c>
      <c r="L412" s="37" t="s">
        <v>35</v>
      </c>
      <c r="O412" s="58"/>
      <c r="P412" s="57"/>
      <c r="Q412" s="57"/>
      <c r="R412" s="121"/>
      <c r="S412" s="121"/>
      <c r="T412" s="122"/>
      <c r="U412" s="121"/>
      <c r="V412" s="121"/>
      <c r="W412" s="121"/>
      <c r="X412" s="121"/>
      <c r="Y412" s="121"/>
      <c r="Z412" s="121"/>
      <c r="AA412" s="121"/>
    </row>
    <row r="413" spans="2:27">
      <c r="B413" s="37" t="s">
        <v>772</v>
      </c>
      <c r="C413" s="40" t="s">
        <v>741</v>
      </c>
      <c r="D413" s="37" t="s">
        <v>14</v>
      </c>
      <c r="E413" s="39">
        <v>688888</v>
      </c>
      <c r="F413" s="37">
        <v>1986</v>
      </c>
      <c r="G413" s="38" t="s">
        <v>773</v>
      </c>
      <c r="H413" s="37" t="s">
        <v>34</v>
      </c>
      <c r="I413" s="37" t="s">
        <v>34</v>
      </c>
      <c r="J413" s="37" t="s">
        <v>34</v>
      </c>
      <c r="K413" s="37" t="s">
        <v>34</v>
      </c>
      <c r="L413" s="37" t="s">
        <v>34</v>
      </c>
      <c r="O413" s="58"/>
      <c r="P413" s="57"/>
      <c r="Q413" s="57"/>
      <c r="R413" s="121"/>
      <c r="S413" s="121"/>
      <c r="T413" s="122"/>
      <c r="U413" s="121"/>
      <c r="V413" s="121"/>
      <c r="W413" s="121"/>
      <c r="X413" s="121"/>
      <c r="Y413" s="121"/>
      <c r="Z413" s="121"/>
      <c r="AA413" s="121"/>
    </row>
    <row r="414" spans="2:27">
      <c r="B414" s="37" t="s">
        <v>774</v>
      </c>
      <c r="C414" s="40" t="s">
        <v>741</v>
      </c>
      <c r="D414" s="37" t="s">
        <v>14</v>
      </c>
      <c r="E414" s="39">
        <v>695000</v>
      </c>
      <c r="F414" s="37">
        <v>1988</v>
      </c>
      <c r="G414" s="38" t="s">
        <v>454</v>
      </c>
      <c r="H414" s="37" t="s">
        <v>34</v>
      </c>
      <c r="I414" s="37" t="s">
        <v>35</v>
      </c>
      <c r="J414" s="37" t="s">
        <v>34</v>
      </c>
      <c r="K414" s="37" t="s">
        <v>34</v>
      </c>
      <c r="L414" s="37" t="s">
        <v>35</v>
      </c>
      <c r="O414" s="58"/>
      <c r="P414" s="57"/>
      <c r="Q414" s="57"/>
      <c r="R414" s="121"/>
      <c r="S414" s="121"/>
      <c r="T414" s="122"/>
      <c r="U414" s="121"/>
      <c r="V414" s="121"/>
      <c r="W414" s="121"/>
      <c r="X414" s="121"/>
      <c r="Y414" s="121"/>
      <c r="Z414" s="121"/>
      <c r="AA414" s="121"/>
    </row>
    <row r="415" spans="2:27">
      <c r="B415" s="37" t="s">
        <v>775</v>
      </c>
      <c r="C415" s="40" t="s">
        <v>741</v>
      </c>
      <c r="D415" s="37" t="s">
        <v>14</v>
      </c>
      <c r="E415" s="39">
        <v>585000</v>
      </c>
      <c r="F415" s="37">
        <v>1988</v>
      </c>
      <c r="G415" s="38" t="s">
        <v>163</v>
      </c>
      <c r="H415" s="37" t="s">
        <v>34</v>
      </c>
      <c r="I415" s="37" t="s">
        <v>35</v>
      </c>
      <c r="J415" s="37" t="s">
        <v>34</v>
      </c>
      <c r="K415" s="37" t="s">
        <v>34</v>
      </c>
      <c r="L415" s="37" t="s">
        <v>35</v>
      </c>
      <c r="O415" s="58"/>
      <c r="P415" s="57"/>
      <c r="Q415" s="57"/>
      <c r="R415" s="121"/>
      <c r="S415" s="121"/>
      <c r="T415" s="122"/>
      <c r="U415" s="121"/>
      <c r="V415" s="121"/>
      <c r="W415" s="121"/>
      <c r="X415" s="121"/>
      <c r="Y415" s="121"/>
      <c r="Z415" s="121"/>
      <c r="AA415" s="121"/>
    </row>
    <row r="416" spans="2:27">
      <c r="B416" s="37" t="s">
        <v>776</v>
      </c>
      <c r="C416" s="40" t="s">
        <v>741</v>
      </c>
      <c r="D416" s="37" t="s">
        <v>14</v>
      </c>
      <c r="E416" s="39">
        <v>660000</v>
      </c>
      <c r="F416" s="37">
        <v>1986</v>
      </c>
      <c r="G416" s="38" t="s">
        <v>670</v>
      </c>
      <c r="H416" s="37" t="s">
        <v>34</v>
      </c>
      <c r="I416" s="37" t="s">
        <v>34</v>
      </c>
      <c r="J416" s="37" t="s">
        <v>34</v>
      </c>
      <c r="K416" s="37" t="s">
        <v>34</v>
      </c>
      <c r="L416" s="37" t="s">
        <v>34</v>
      </c>
      <c r="O416" s="58"/>
      <c r="P416" s="57"/>
      <c r="Q416" s="57"/>
      <c r="R416" s="121"/>
      <c r="S416" s="121"/>
      <c r="T416" s="122"/>
      <c r="U416" s="121"/>
      <c r="V416" s="121"/>
      <c r="W416" s="121"/>
      <c r="X416" s="121"/>
      <c r="Y416" s="121"/>
      <c r="Z416" s="121"/>
      <c r="AA416" s="121"/>
    </row>
    <row r="417" spans="2:27">
      <c r="B417" s="37" t="s">
        <v>777</v>
      </c>
      <c r="C417" s="40" t="s">
        <v>741</v>
      </c>
      <c r="D417" s="37" t="s">
        <v>14</v>
      </c>
      <c r="E417" s="39">
        <v>615000</v>
      </c>
      <c r="F417" s="37">
        <v>1985</v>
      </c>
      <c r="G417" s="38" t="s">
        <v>133</v>
      </c>
      <c r="H417" s="37" t="s">
        <v>34</v>
      </c>
      <c r="I417" s="37" t="s">
        <v>34</v>
      </c>
      <c r="J417" s="37" t="s">
        <v>34</v>
      </c>
      <c r="K417" s="37" t="s">
        <v>34</v>
      </c>
      <c r="L417" s="37" t="s">
        <v>34</v>
      </c>
      <c r="O417" s="58"/>
      <c r="P417" s="57"/>
      <c r="Q417" s="57"/>
      <c r="R417" s="121"/>
      <c r="S417" s="121"/>
      <c r="T417" s="122"/>
      <c r="U417" s="121"/>
      <c r="V417" s="121"/>
      <c r="W417" s="121"/>
      <c r="X417" s="121"/>
      <c r="Y417" s="121"/>
      <c r="Z417" s="121"/>
      <c r="AA417" s="121"/>
    </row>
    <row r="418" spans="2:27">
      <c r="B418" s="37" t="s">
        <v>778</v>
      </c>
      <c r="C418" s="40" t="s">
        <v>741</v>
      </c>
      <c r="D418" s="37" t="s">
        <v>14</v>
      </c>
      <c r="E418" s="39">
        <v>640000</v>
      </c>
      <c r="F418" s="37">
        <v>2016</v>
      </c>
      <c r="G418" s="38" t="s">
        <v>402</v>
      </c>
      <c r="H418" s="37" t="s">
        <v>34</v>
      </c>
      <c r="I418" s="37" t="s">
        <v>35</v>
      </c>
      <c r="J418" s="37" t="s">
        <v>35</v>
      </c>
      <c r="K418" s="37" t="s">
        <v>34</v>
      </c>
      <c r="L418" s="37" t="s">
        <v>35</v>
      </c>
      <c r="O418" s="58"/>
      <c r="P418" s="57"/>
      <c r="Q418" s="57"/>
      <c r="R418" s="121"/>
      <c r="S418" s="121"/>
      <c r="T418" s="122"/>
      <c r="U418" s="121"/>
      <c r="V418" s="121"/>
      <c r="W418" s="121"/>
      <c r="X418" s="121"/>
      <c r="Y418" s="121"/>
      <c r="Z418" s="121"/>
      <c r="AA418" s="121"/>
    </row>
    <row r="419" spans="2:27">
      <c r="B419" s="37" t="s">
        <v>779</v>
      </c>
      <c r="C419" s="40" t="s">
        <v>741</v>
      </c>
      <c r="D419" s="37" t="s">
        <v>14</v>
      </c>
      <c r="E419" s="39">
        <v>675000</v>
      </c>
      <c r="F419" s="37">
        <v>2018</v>
      </c>
      <c r="G419" s="38" t="s">
        <v>140</v>
      </c>
      <c r="H419" s="37" t="s">
        <v>34</v>
      </c>
      <c r="I419" s="37" t="s">
        <v>35</v>
      </c>
      <c r="J419" s="37" t="s">
        <v>35</v>
      </c>
      <c r="K419" s="37" t="s">
        <v>34</v>
      </c>
      <c r="L419" s="37" t="s">
        <v>35</v>
      </c>
      <c r="O419" s="58"/>
      <c r="P419" s="57"/>
      <c r="Q419" s="57"/>
      <c r="R419" s="121"/>
      <c r="S419" s="121"/>
      <c r="T419" s="122"/>
      <c r="U419" s="121"/>
      <c r="V419" s="121"/>
      <c r="W419" s="121"/>
      <c r="X419" s="121"/>
      <c r="Y419" s="121"/>
      <c r="Z419" s="121"/>
      <c r="AA419" s="121"/>
    </row>
    <row r="420" spans="2:27">
      <c r="B420" s="37" t="s">
        <v>780</v>
      </c>
      <c r="C420" s="40" t="s">
        <v>741</v>
      </c>
      <c r="D420" s="37" t="s">
        <v>14</v>
      </c>
      <c r="E420" s="39">
        <v>688000</v>
      </c>
      <c r="F420" s="37">
        <v>1987</v>
      </c>
      <c r="G420" s="38" t="s">
        <v>781</v>
      </c>
      <c r="H420" s="37" t="s">
        <v>34</v>
      </c>
      <c r="I420" s="37" t="s">
        <v>34</v>
      </c>
      <c r="J420" s="37" t="s">
        <v>35</v>
      </c>
      <c r="K420" s="37" t="s">
        <v>34</v>
      </c>
      <c r="L420" s="37" t="s">
        <v>35</v>
      </c>
      <c r="O420" s="58"/>
      <c r="P420" s="57"/>
      <c r="Q420" s="57"/>
      <c r="R420" s="121"/>
      <c r="S420" s="121"/>
      <c r="T420" s="122"/>
      <c r="U420" s="121"/>
      <c r="V420" s="121"/>
      <c r="W420" s="121"/>
      <c r="X420" s="121"/>
      <c r="Y420" s="121"/>
      <c r="Z420" s="121"/>
      <c r="AA420" s="121"/>
    </row>
    <row r="421" spans="2:27">
      <c r="B421" s="42" t="s">
        <v>782</v>
      </c>
      <c r="C421" s="41" t="s">
        <v>741</v>
      </c>
      <c r="D421" s="42" t="s">
        <v>177</v>
      </c>
      <c r="E421" s="44">
        <v>860000</v>
      </c>
      <c r="F421" s="42">
        <v>1988</v>
      </c>
      <c r="G421" s="43" t="s">
        <v>454</v>
      </c>
      <c r="H421" s="42" t="s">
        <v>34</v>
      </c>
      <c r="I421" s="42" t="s">
        <v>35</v>
      </c>
      <c r="J421" s="42" t="s">
        <v>35</v>
      </c>
      <c r="K421" s="42" t="s">
        <v>34</v>
      </c>
      <c r="L421" s="42" t="s">
        <v>35</v>
      </c>
      <c r="O421" s="58"/>
      <c r="P421" s="57"/>
      <c r="Q421" s="57"/>
      <c r="R421" s="121"/>
      <c r="S421" s="121"/>
      <c r="T421" s="122"/>
      <c r="U421" s="121"/>
      <c r="V421" s="121"/>
      <c r="W421" s="121"/>
      <c r="X421" s="121"/>
      <c r="Y421" s="121"/>
      <c r="Z421" s="121"/>
      <c r="AA421" s="121"/>
    </row>
    <row r="422" spans="2:27">
      <c r="O422" s="58"/>
      <c r="P422" s="57"/>
      <c r="Q422" s="57"/>
      <c r="R422" s="121"/>
      <c r="S422" s="121"/>
      <c r="T422" s="122"/>
      <c r="U422" s="121"/>
      <c r="V422" s="121"/>
      <c r="W422" s="121"/>
      <c r="X422" s="121"/>
      <c r="Y422" s="121"/>
      <c r="Z422" s="121"/>
      <c r="AA422" s="121"/>
    </row>
    <row r="423" spans="2:27">
      <c r="O423" s="58"/>
      <c r="P423" s="57"/>
      <c r="Q423" s="57"/>
      <c r="R423" s="121"/>
      <c r="S423" s="121"/>
      <c r="T423" s="122"/>
      <c r="U423" s="121"/>
      <c r="V423" s="121"/>
      <c r="W423" s="121"/>
      <c r="X423" s="121"/>
      <c r="Y423" s="121"/>
      <c r="Z423" s="121"/>
      <c r="AA423" s="121"/>
    </row>
    <row r="424" spans="2:27">
      <c r="O424" s="58"/>
      <c r="P424" s="57"/>
      <c r="Q424" s="57"/>
      <c r="R424" s="121"/>
      <c r="S424" s="121"/>
      <c r="T424" s="122"/>
      <c r="U424" s="121"/>
      <c r="V424" s="121"/>
      <c r="W424" s="121"/>
      <c r="X424" s="121"/>
      <c r="Y424" s="121"/>
      <c r="Z424" s="121"/>
      <c r="AA424" s="121"/>
    </row>
    <row r="425" spans="2:27">
      <c r="O425" s="58"/>
      <c r="P425" s="57"/>
      <c r="Q425" s="57"/>
      <c r="R425" s="121"/>
      <c r="S425" s="121"/>
      <c r="T425" s="122"/>
      <c r="U425" s="121"/>
      <c r="V425" s="121"/>
      <c r="W425" s="121"/>
      <c r="X425" s="121"/>
      <c r="Y425" s="121"/>
      <c r="Z425" s="121"/>
      <c r="AA425" s="121"/>
    </row>
    <row r="426" spans="2:27">
      <c r="O426" s="58"/>
      <c r="P426" s="57"/>
      <c r="Q426" s="57"/>
      <c r="R426" s="121"/>
      <c r="S426" s="121"/>
      <c r="T426" s="122"/>
      <c r="U426" s="121"/>
      <c r="V426" s="121"/>
      <c r="W426" s="121"/>
      <c r="X426" s="121"/>
      <c r="Y426" s="121"/>
      <c r="Z426" s="121"/>
      <c r="AA426" s="121"/>
    </row>
    <row r="427" spans="2:27">
      <c r="O427" s="58"/>
      <c r="P427" s="57"/>
      <c r="Q427" s="57"/>
      <c r="R427" s="121"/>
      <c r="S427" s="121"/>
      <c r="T427" s="122"/>
      <c r="U427" s="121"/>
      <c r="V427" s="121"/>
      <c r="W427" s="121"/>
      <c r="X427" s="121"/>
      <c r="Y427" s="121"/>
      <c r="Z427" s="121"/>
      <c r="AA427" s="121"/>
    </row>
    <row r="428" spans="2:27">
      <c r="O428" s="58"/>
      <c r="P428" s="57"/>
      <c r="Q428" s="57"/>
      <c r="R428" s="121"/>
      <c r="S428" s="121"/>
      <c r="T428" s="122"/>
      <c r="U428" s="121"/>
      <c r="V428" s="121"/>
      <c r="W428" s="121"/>
      <c r="X428" s="121"/>
      <c r="Y428" s="121"/>
      <c r="Z428" s="121"/>
      <c r="AA428" s="121"/>
    </row>
    <row r="429" spans="2:27">
      <c r="O429" s="58"/>
      <c r="P429" s="57"/>
      <c r="Q429" s="57"/>
      <c r="R429" s="121"/>
      <c r="S429" s="121"/>
      <c r="T429" s="122"/>
      <c r="U429" s="121"/>
      <c r="V429" s="121"/>
      <c r="W429" s="121"/>
      <c r="X429" s="121"/>
      <c r="Y429" s="121"/>
      <c r="Z429" s="121"/>
      <c r="AA429" s="121"/>
    </row>
    <row r="430" spans="2:27">
      <c r="O430" s="58"/>
      <c r="P430" s="57"/>
      <c r="Q430" s="57"/>
      <c r="R430" s="121"/>
      <c r="S430" s="121"/>
      <c r="T430" s="122"/>
      <c r="U430" s="121"/>
      <c r="V430" s="121"/>
      <c r="W430" s="121"/>
      <c r="X430" s="121"/>
      <c r="Y430" s="121"/>
      <c r="Z430" s="121"/>
      <c r="AA430" s="121"/>
    </row>
    <row r="431" spans="2:27">
      <c r="O431" s="58"/>
      <c r="P431" s="57"/>
      <c r="Q431" s="57"/>
      <c r="R431" s="121"/>
      <c r="S431" s="121"/>
      <c r="T431" s="122"/>
      <c r="U431" s="121"/>
      <c r="V431" s="121"/>
      <c r="W431" s="121"/>
      <c r="X431" s="121"/>
      <c r="Y431" s="121"/>
      <c r="Z431" s="121"/>
      <c r="AA431" s="121"/>
    </row>
    <row r="432" spans="2:27">
      <c r="O432" s="58"/>
      <c r="P432" s="57"/>
      <c r="Q432" s="57"/>
      <c r="R432" s="121"/>
      <c r="S432" s="121"/>
      <c r="T432" s="122"/>
      <c r="U432" s="121"/>
      <c r="V432" s="121"/>
      <c r="W432" s="121"/>
      <c r="X432" s="121"/>
      <c r="Y432" s="121"/>
      <c r="Z432" s="121"/>
      <c r="AA432" s="121"/>
    </row>
  </sheetData>
  <mergeCells count="1">
    <mergeCell ref="H9:L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Page</vt:lpstr>
      <vt:lpstr>Filter</vt:lpstr>
      <vt:lpstr>Repayment of Loans</vt:lpstr>
      <vt:lpstr> BTO Market</vt:lpstr>
      <vt:lpstr>Resale Market Consolidated</vt:lpstr>
      <vt:lpstr>Resale Market</vt:lpstr>
      <vt:lpstr>' BTO Market'!Criteria</vt:lpstr>
      <vt:lpstr>Filter!Criteria</vt:lpstr>
      <vt:lpstr>'Resale Market'!Criteria</vt:lpstr>
      <vt:lpstr>' BTO Market'!Extract</vt:lpstr>
      <vt:lpstr>Filter!Extract</vt:lpstr>
      <vt:lpstr>'Resale Market'!Extract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zoe cheang</dc:creator>
  <cp:keywords/>
  <dc:description/>
  <cp:lastModifiedBy>Natalie HENG Shu Hui</cp:lastModifiedBy>
  <cp:revision/>
  <dcterms:created xsi:type="dcterms:W3CDTF">2024-03-08T06:08:43Z</dcterms:created>
  <dcterms:modified xsi:type="dcterms:W3CDTF">2024-04-07T08:12:26Z</dcterms:modified>
  <cp:category/>
  <cp:contentStatus/>
</cp:coreProperties>
</file>